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G:\laser-multy\Multy\3.فایل اکسل مولتی مشتری ها\"/>
    </mc:Choice>
  </mc:AlternateContent>
  <xr:revisionPtr revIDLastSave="0" documentId="13_ncr:1_{E87CDDB9-36CD-4F19-B1D5-5801A59CA9A8}" xr6:coauthVersionLast="47" xr6:coauthVersionMax="47" xr10:uidLastSave="{00000000-0000-0000-0000-000000000000}"/>
  <bookViews>
    <workbookView xWindow="60" yWindow="0" windowWidth="26460" windowHeight="14280" tabRatio="604" firstSheet="1" activeTab="2" xr2:uid="{00000000-000D-0000-FFFF-FFFF00000000}"/>
  </bookViews>
  <sheets>
    <sheet name="Chart1" sheetId="2" r:id="rId1"/>
    <sheet name="Sheet2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K3" i="1"/>
  <c r="Q3" i="1"/>
  <c r="S3" i="1"/>
  <c r="H4" i="1"/>
  <c r="K4" i="1"/>
  <c r="Q4" i="1"/>
  <c r="S4" i="1"/>
  <c r="H5" i="1"/>
  <c r="K5" i="1"/>
  <c r="Q5" i="1"/>
  <c r="S5" i="1"/>
  <c r="H18" i="1"/>
  <c r="K18" i="1"/>
  <c r="Q18" i="1"/>
  <c r="H19" i="1"/>
  <c r="H2" i="1"/>
  <c r="K2" i="1"/>
  <c r="Q2" i="1"/>
  <c r="S2" i="1"/>
  <c r="Q19" i="1"/>
  <c r="S19" i="1"/>
  <c r="K21" i="1"/>
  <c r="Q21" i="1"/>
  <c r="S21" i="1"/>
  <c r="Q22" i="1"/>
  <c r="S22" i="1"/>
  <c r="H23" i="1"/>
  <c r="H24" i="1"/>
  <c r="H25" i="1"/>
  <c r="H26" i="1"/>
  <c r="Q20" i="1"/>
  <c r="Q23" i="1"/>
  <c r="Q25" i="1"/>
  <c r="Q26" i="1"/>
  <c r="Q30" i="1"/>
  <c r="H30" i="1"/>
  <c r="H29" i="1"/>
  <c r="H28" i="1"/>
  <c r="H6" i="1"/>
  <c r="H7" i="1"/>
  <c r="H8" i="1"/>
  <c r="H9" i="1"/>
  <c r="H10" i="1"/>
  <c r="H11" i="1"/>
  <c r="H12" i="1"/>
  <c r="Q29" i="1"/>
  <c r="Q28" i="1"/>
  <c r="Q27" i="1"/>
  <c r="Q6" i="1"/>
  <c r="Q7" i="1"/>
  <c r="Q8" i="1"/>
  <c r="Q9" i="1"/>
  <c r="Q10" i="1"/>
  <c r="Q11" i="1"/>
  <c r="Q12" i="1"/>
  <c r="S20" i="1"/>
  <c r="K23" i="1"/>
  <c r="S23" i="1"/>
  <c r="K24" i="1"/>
  <c r="S24" i="1"/>
  <c r="K25" i="1"/>
  <c r="S25" i="1"/>
  <c r="K26" i="1"/>
  <c r="S26" i="1"/>
  <c r="K30" i="1"/>
  <c r="S30" i="1"/>
  <c r="K29" i="1"/>
  <c r="S27" i="1"/>
  <c r="K28" i="1"/>
  <c r="S6" i="1"/>
  <c r="H43" i="1"/>
  <c r="K43" i="1"/>
  <c r="Q43" i="1"/>
  <c r="S43" i="1"/>
  <c r="H35" i="1"/>
  <c r="K35" i="1"/>
  <c r="Q35" i="1"/>
  <c r="S35" i="1"/>
  <c r="H36" i="1"/>
  <c r="K36" i="1"/>
  <c r="Q36" i="1"/>
  <c r="S36" i="1"/>
  <c r="K38" i="1"/>
  <c r="Q38" i="1"/>
  <c r="S38" i="1"/>
  <c r="H39" i="1"/>
  <c r="K39" i="1"/>
  <c r="Q39" i="1"/>
  <c r="S39" i="1"/>
  <c r="H40" i="1"/>
  <c r="K40" i="1"/>
  <c r="Q40" i="1"/>
  <c r="S40" i="1"/>
  <c r="H41" i="1"/>
  <c r="K41" i="1"/>
  <c r="Q41" i="1"/>
  <c r="S41" i="1"/>
  <c r="H42" i="1"/>
  <c r="K42" i="1"/>
  <c r="Q42" i="1"/>
  <c r="S42" i="1"/>
  <c r="H37" i="1"/>
  <c r="K37" i="1"/>
  <c r="Q37" i="1"/>
  <c r="S37" i="1"/>
  <c r="H34" i="1"/>
  <c r="H33" i="1"/>
  <c r="H32" i="1"/>
  <c r="K27" i="1"/>
  <c r="S7" i="1"/>
  <c r="Q31" i="1"/>
  <c r="S31" i="1"/>
  <c r="Q33" i="1"/>
  <c r="S33" i="1"/>
  <c r="K32" i="1"/>
  <c r="Q32" i="1"/>
  <c r="S32" i="1"/>
  <c r="K34" i="1"/>
  <c r="Q34" i="1"/>
  <c r="S34" i="1"/>
  <c r="S18" i="1" l="1"/>
  <c r="Q44" i="1"/>
  <c r="K48" i="1" l="1"/>
  <c r="H51" i="1"/>
  <c r="K51" i="1"/>
  <c r="Q51" i="1"/>
  <c r="S51" i="1"/>
  <c r="S55" i="1"/>
  <c r="Q55" i="1"/>
  <c r="K55" i="1"/>
  <c r="H55" i="1"/>
  <c r="H46" i="1"/>
  <c r="K46" i="1"/>
  <c r="Q46" i="1"/>
  <c r="S46" i="1"/>
  <c r="H47" i="1"/>
  <c r="K47" i="1"/>
  <c r="Q47" i="1"/>
  <c r="S47" i="1"/>
  <c r="H52" i="1"/>
  <c r="K52" i="1"/>
  <c r="Q52" i="1"/>
  <c r="S52" i="1"/>
  <c r="K62" i="1"/>
  <c r="K63" i="1"/>
  <c r="H45" i="1"/>
  <c r="K45" i="1"/>
  <c r="S45" i="1"/>
  <c r="H44" i="1"/>
  <c r="K44" i="1"/>
  <c r="S44" i="1"/>
  <c r="Q62" i="1"/>
  <c r="S62" i="1"/>
  <c r="H56" i="1"/>
  <c r="K56" i="1"/>
  <c r="Q56" i="1"/>
  <c r="S56" i="1"/>
  <c r="H59" i="1"/>
  <c r="K59" i="1"/>
  <c r="Q59" i="1"/>
  <c r="S59" i="1"/>
  <c r="H53" i="1"/>
  <c r="K53" i="1"/>
  <c r="Q53" i="1"/>
  <c r="S53" i="1"/>
  <c r="H48" i="1"/>
  <c r="Q48" i="1"/>
  <c r="S48" i="1"/>
  <c r="H54" i="1"/>
  <c r="K54" i="1"/>
  <c r="Q54" i="1"/>
  <c r="S54" i="1"/>
  <c r="H49" i="1" l="1"/>
  <c r="K49" i="1"/>
  <c r="Q49" i="1"/>
  <c r="S49" i="1"/>
  <c r="H50" i="1"/>
  <c r="K50" i="1"/>
  <c r="Q50" i="1"/>
  <c r="S50" i="1"/>
  <c r="H60" i="1"/>
  <c r="K60" i="1"/>
  <c r="Q60" i="1"/>
  <c r="S60" i="1"/>
  <c r="H65" i="1"/>
  <c r="K65" i="1"/>
  <c r="Q65" i="1"/>
  <c r="S65" i="1"/>
  <c r="H61" i="1"/>
  <c r="K61" i="1"/>
  <c r="Q61" i="1"/>
  <c r="S61" i="1"/>
  <c r="K70" i="1"/>
  <c r="H80" i="1"/>
  <c r="K80" i="1"/>
  <c r="Q80" i="1"/>
  <c r="S80" i="1"/>
  <c r="H66" i="1"/>
  <c r="K66" i="1"/>
  <c r="Q66" i="1"/>
  <c r="S66" i="1"/>
  <c r="H67" i="1"/>
  <c r="K67" i="1"/>
  <c r="Q67" i="1"/>
  <c r="S67" i="1"/>
  <c r="H68" i="1"/>
  <c r="K68" i="1"/>
  <c r="Q68" i="1"/>
  <c r="S68" i="1"/>
  <c r="H69" i="1"/>
  <c r="K69" i="1"/>
  <c r="Q69" i="1"/>
  <c r="S69" i="1"/>
  <c r="H70" i="1"/>
  <c r="Q70" i="1"/>
  <c r="S70" i="1"/>
  <c r="H71" i="1"/>
  <c r="K71" i="1"/>
  <c r="Q71" i="1"/>
  <c r="S71" i="1"/>
  <c r="H72" i="1"/>
  <c r="K72" i="1"/>
  <c r="Q72" i="1"/>
  <c r="S72" i="1"/>
  <c r="H57" i="1"/>
  <c r="K57" i="1"/>
  <c r="Q57" i="1"/>
  <c r="S57" i="1"/>
  <c r="H79" i="1"/>
  <c r="K79" i="1"/>
  <c r="Q79" i="1"/>
  <c r="S79" i="1"/>
  <c r="H77" i="1"/>
  <c r="K77" i="1"/>
  <c r="Q77" i="1"/>
  <c r="S77" i="1"/>
  <c r="H78" i="1"/>
  <c r="K78" i="1"/>
  <c r="Q78" i="1"/>
  <c r="S78" i="1"/>
  <c r="H81" i="1"/>
  <c r="K81" i="1"/>
  <c r="Q81" i="1"/>
  <c r="S81" i="1"/>
  <c r="H75" i="1"/>
  <c r="K75" i="1"/>
  <c r="Q75" i="1"/>
  <c r="S75" i="1"/>
  <c r="K7" i="1"/>
  <c r="S9" i="1"/>
  <c r="K8" i="1"/>
  <c r="S10" i="1"/>
  <c r="K9" i="1"/>
  <c r="S11" i="1"/>
  <c r="K10" i="1"/>
  <c r="S12" i="1"/>
  <c r="K11" i="1"/>
  <c r="S13" i="1"/>
  <c r="H76" i="1"/>
  <c r="K76" i="1"/>
  <c r="Q76" i="1"/>
  <c r="S76" i="1"/>
  <c r="H82" i="1"/>
  <c r="K82" i="1"/>
  <c r="Q82" i="1"/>
  <c r="S82" i="1"/>
  <c r="H63" i="1"/>
  <c r="Q63" i="1"/>
  <c r="S63" i="1"/>
  <c r="K6" i="1"/>
  <c r="S8" i="1"/>
  <c r="K12" i="1"/>
  <c r="S14" i="1"/>
  <c r="H13" i="1"/>
  <c r="K13" i="1"/>
  <c r="Q13" i="1"/>
  <c r="S15" i="1"/>
  <c r="H14" i="1"/>
  <c r="K14" i="1"/>
  <c r="Q14" i="1"/>
  <c r="S16" i="1"/>
  <c r="H15" i="1"/>
  <c r="K15" i="1"/>
  <c r="Q15" i="1"/>
  <c r="S17" i="1"/>
  <c r="H16" i="1"/>
  <c r="K16" i="1"/>
  <c r="Q16" i="1"/>
  <c r="S28" i="1"/>
  <c r="H83" i="1"/>
  <c r="K83" i="1"/>
  <c r="Q83" i="1"/>
  <c r="S83" i="1"/>
  <c r="H84" i="1"/>
  <c r="K84" i="1"/>
  <c r="Q84" i="1"/>
  <c r="S84" i="1"/>
  <c r="H73" i="1"/>
  <c r="K73" i="1"/>
  <c r="Q73" i="1"/>
  <c r="S73" i="1"/>
  <c r="H86" i="1"/>
  <c r="K86" i="1"/>
  <c r="Q86" i="1"/>
  <c r="S86" i="1"/>
  <c r="H87" i="1"/>
  <c r="K87" i="1"/>
  <c r="Q87" i="1"/>
  <c r="S87" i="1"/>
  <c r="H88" i="1"/>
  <c r="K88" i="1"/>
  <c r="Q88" i="1"/>
  <c r="S88" i="1"/>
  <c r="H58" i="1"/>
  <c r="K58" i="1"/>
  <c r="Q58" i="1"/>
  <c r="S58" i="1"/>
  <c r="H74" i="1"/>
  <c r="K74" i="1"/>
  <c r="Q74" i="1"/>
  <c r="S74" i="1"/>
  <c r="H92" i="1"/>
  <c r="K92" i="1"/>
  <c r="Q92" i="1"/>
  <c r="S92" i="1"/>
  <c r="H89" i="1"/>
  <c r="K89" i="1"/>
  <c r="Q89" i="1"/>
  <c r="S89" i="1"/>
  <c r="H93" i="1"/>
  <c r="K93" i="1"/>
  <c r="Q93" i="1"/>
  <c r="S93" i="1"/>
  <c r="H90" i="1"/>
  <c r="K90" i="1"/>
  <c r="Q90" i="1"/>
  <c r="S90" i="1"/>
  <c r="H91" i="1"/>
  <c r="K91" i="1"/>
  <c r="Q91" i="1"/>
  <c r="S91" i="1"/>
  <c r="H64" i="1"/>
  <c r="K64" i="1"/>
  <c r="Q64" i="1"/>
  <c r="S64" i="1"/>
  <c r="H94" i="1"/>
  <c r="K94" i="1"/>
  <c r="Q94" i="1"/>
  <c r="S94" i="1"/>
  <c r="H95" i="1"/>
  <c r="K95" i="1"/>
  <c r="Q95" i="1"/>
  <c r="S95" i="1"/>
  <c r="H96" i="1"/>
  <c r="K96" i="1"/>
  <c r="Q96" i="1"/>
  <c r="S96" i="1"/>
  <c r="H85" i="1"/>
  <c r="K85" i="1"/>
  <c r="Q85" i="1"/>
  <c r="S85" i="1"/>
  <c r="H97" i="1"/>
  <c r="K97" i="1"/>
  <c r="Q97" i="1"/>
  <c r="S97" i="1"/>
  <c r="H98" i="1"/>
  <c r="K98" i="1"/>
  <c r="Q98" i="1"/>
  <c r="S98" i="1"/>
  <c r="H99" i="1"/>
  <c r="K99" i="1"/>
  <c r="Q99" i="1"/>
  <c r="S99" i="1"/>
  <c r="H107" i="1"/>
  <c r="K107" i="1"/>
  <c r="Q107" i="1"/>
  <c r="S107" i="1"/>
  <c r="H102" i="1" l="1"/>
  <c r="K102" i="1"/>
  <c r="Q102" i="1"/>
  <c r="S102" i="1"/>
  <c r="H103" i="1"/>
  <c r="K103" i="1"/>
  <c r="Q103" i="1"/>
  <c r="S103" i="1"/>
  <c r="H108" i="1"/>
  <c r="K108" i="1"/>
  <c r="Q108" i="1"/>
  <c r="S108" i="1"/>
  <c r="H109" i="1"/>
  <c r="K109" i="1"/>
  <c r="Q109" i="1"/>
  <c r="S109" i="1"/>
  <c r="H110" i="1"/>
  <c r="K110" i="1"/>
  <c r="Q110" i="1"/>
  <c r="S110" i="1"/>
  <c r="H111" i="1"/>
  <c r="K111" i="1"/>
  <c r="Q111" i="1"/>
  <c r="S111" i="1"/>
  <c r="H112" i="1"/>
  <c r="K112" i="1"/>
  <c r="Q112" i="1"/>
  <c r="S112" i="1"/>
  <c r="H113" i="1"/>
  <c r="K113" i="1"/>
  <c r="Q113" i="1"/>
  <c r="S113" i="1"/>
  <c r="H100" i="1"/>
  <c r="K100" i="1"/>
  <c r="Q100" i="1"/>
  <c r="S100" i="1"/>
  <c r="H114" i="1"/>
  <c r="K114" i="1"/>
  <c r="Q114" i="1"/>
  <c r="S114" i="1"/>
  <c r="H101" i="1"/>
  <c r="K101" i="1"/>
  <c r="Q101" i="1"/>
  <c r="S101" i="1"/>
  <c r="H115" i="1"/>
  <c r="K115" i="1"/>
  <c r="Q115" i="1"/>
  <c r="S115" i="1"/>
  <c r="H121" i="1"/>
  <c r="K121" i="1"/>
  <c r="Q121" i="1"/>
  <c r="S121" i="1"/>
  <c r="H116" i="1"/>
  <c r="K116" i="1"/>
  <c r="Q116" i="1"/>
  <c r="S116" i="1"/>
  <c r="H117" i="1"/>
  <c r="K117" i="1"/>
  <c r="Q117" i="1"/>
  <c r="S117" i="1"/>
  <c r="H118" i="1"/>
  <c r="K118" i="1"/>
  <c r="Q118" i="1"/>
  <c r="S118" i="1"/>
  <c r="H122" i="1"/>
  <c r="K122" i="1"/>
  <c r="Q122" i="1"/>
  <c r="S122" i="1"/>
  <c r="H123" i="1"/>
  <c r="K123" i="1"/>
  <c r="Q123" i="1"/>
  <c r="S123" i="1"/>
  <c r="H104" i="1"/>
  <c r="K104" i="1"/>
  <c r="Q104" i="1"/>
  <c r="S104" i="1"/>
  <c r="H124" i="1"/>
  <c r="K124" i="1"/>
  <c r="Q124" i="1"/>
  <c r="S124" i="1"/>
  <c r="H125" i="1"/>
  <c r="K125" i="1"/>
  <c r="Q125" i="1"/>
  <c r="S125" i="1"/>
  <c r="H105" i="1"/>
  <c r="K105" i="1"/>
  <c r="Q105" i="1"/>
  <c r="S105" i="1"/>
  <c r="K147" i="1"/>
  <c r="H106" i="1"/>
  <c r="K106" i="1"/>
  <c r="Q106" i="1"/>
  <c r="S106" i="1"/>
  <c r="H126" i="1"/>
  <c r="K126" i="1"/>
  <c r="Q126" i="1"/>
  <c r="S126" i="1"/>
  <c r="H127" i="1"/>
  <c r="K127" i="1"/>
  <c r="Q127" i="1"/>
  <c r="S127" i="1"/>
  <c r="H147" i="1" l="1"/>
  <c r="H143" i="1"/>
  <c r="K143" i="1"/>
  <c r="Q143" i="1"/>
  <c r="S143" i="1"/>
  <c r="H144" i="1"/>
  <c r="K144" i="1"/>
  <c r="Q144" i="1"/>
  <c r="S144" i="1"/>
  <c r="H120" i="1"/>
  <c r="K120" i="1"/>
  <c r="Q120" i="1"/>
  <c r="S120" i="1"/>
  <c r="H128" i="1"/>
  <c r="K128" i="1"/>
  <c r="Q128" i="1"/>
  <c r="S128" i="1"/>
  <c r="H129" i="1"/>
  <c r="K129" i="1"/>
  <c r="Q129" i="1"/>
  <c r="S129" i="1"/>
  <c r="H130" i="1"/>
  <c r="K130" i="1"/>
  <c r="Q130" i="1"/>
  <c r="S130" i="1"/>
  <c r="H131" i="1"/>
  <c r="K131" i="1"/>
  <c r="Q131" i="1"/>
  <c r="S131" i="1"/>
  <c r="H119" i="1"/>
  <c r="K119" i="1"/>
  <c r="Q119" i="1"/>
  <c r="S119" i="1"/>
  <c r="H132" i="1"/>
  <c r="K132" i="1"/>
  <c r="Q132" i="1"/>
  <c r="S132" i="1"/>
  <c r="H133" i="1"/>
  <c r="K133" i="1"/>
  <c r="Q133" i="1"/>
  <c r="S133" i="1"/>
  <c r="H134" i="1"/>
  <c r="K134" i="1"/>
  <c r="Q134" i="1"/>
  <c r="S134" i="1"/>
  <c r="H135" i="1"/>
  <c r="K135" i="1"/>
  <c r="Q135" i="1"/>
  <c r="S135" i="1"/>
  <c r="H136" i="1"/>
  <c r="K136" i="1"/>
  <c r="Q136" i="1"/>
  <c r="S136" i="1"/>
  <c r="H137" i="1"/>
  <c r="K137" i="1"/>
  <c r="Q137" i="1"/>
  <c r="S137" i="1"/>
  <c r="H138" i="1" l="1"/>
  <c r="K138" i="1"/>
  <c r="Q138" i="1"/>
  <c r="S138" i="1"/>
  <c r="H139" i="1"/>
  <c r="K139" i="1"/>
  <c r="Q139" i="1"/>
  <c r="S139" i="1"/>
  <c r="H140" i="1"/>
  <c r="K140" i="1"/>
  <c r="Q140" i="1"/>
  <c r="S140" i="1"/>
  <c r="H141" i="1"/>
  <c r="K141" i="1"/>
  <c r="Q141" i="1"/>
  <c r="S141" i="1"/>
  <c r="H142" i="1"/>
  <c r="K142" i="1"/>
  <c r="Q142" i="1"/>
  <c r="S142" i="1"/>
  <c r="H145" i="1"/>
  <c r="K145" i="1"/>
  <c r="Q145" i="1"/>
  <c r="S145" i="1"/>
  <c r="H146" i="1"/>
  <c r="K146" i="1"/>
  <c r="Q146" i="1"/>
  <c r="S146" i="1"/>
  <c r="H149" i="1"/>
  <c r="K149" i="1"/>
  <c r="Q149" i="1"/>
  <c r="S149" i="1"/>
  <c r="H150" i="1"/>
  <c r="K150" i="1"/>
  <c r="Q150" i="1"/>
  <c r="S150" i="1"/>
  <c r="H151" i="1"/>
  <c r="K151" i="1"/>
  <c r="Q151" i="1"/>
  <c r="S151" i="1"/>
  <c r="H152" i="1"/>
  <c r="K152" i="1"/>
  <c r="Q152" i="1"/>
  <c r="S152" i="1"/>
  <c r="H148" i="1"/>
  <c r="K148" i="1"/>
  <c r="Q148" i="1"/>
  <c r="S148" i="1"/>
  <c r="H154" i="1"/>
  <c r="K154" i="1"/>
  <c r="Q154" i="1"/>
  <c r="S154" i="1"/>
  <c r="H158" i="1"/>
  <c r="K158" i="1"/>
  <c r="Q158" i="1"/>
  <c r="S158" i="1"/>
  <c r="K168" i="1"/>
  <c r="K169" i="1"/>
  <c r="K170" i="1"/>
  <c r="K153" i="1"/>
  <c r="Q156" i="1"/>
  <c r="S156" i="1"/>
  <c r="H156" i="1"/>
  <c r="K156" i="1"/>
  <c r="H159" i="1"/>
  <c r="K159" i="1"/>
  <c r="Q159" i="1"/>
  <c r="S159" i="1"/>
  <c r="H160" i="1"/>
  <c r="K160" i="1"/>
  <c r="Q160" i="1"/>
  <c r="S160" i="1"/>
  <c r="H161" i="1"/>
  <c r="K161" i="1"/>
  <c r="Q161" i="1"/>
  <c r="S161" i="1"/>
  <c r="H162" i="1"/>
  <c r="K162" i="1"/>
  <c r="Q162" i="1"/>
  <c r="S162" i="1"/>
  <c r="H155" i="1"/>
  <c r="K155" i="1"/>
  <c r="Q155" i="1"/>
  <c r="S155" i="1"/>
  <c r="Q163" i="1" l="1"/>
  <c r="Q164" i="1"/>
  <c r="Q165" i="1"/>
  <c r="Q172" i="1"/>
  <c r="Q166" i="1"/>
  <c r="Q167" i="1"/>
  <c r="Q157" i="1"/>
  <c r="Q168" i="1"/>
  <c r="Q169" i="1"/>
  <c r="Q170" i="1"/>
  <c r="Q173" i="1"/>
  <c r="Q179" i="1"/>
  <c r="Q174" i="1"/>
  <c r="Q175" i="1"/>
  <c r="Q181" i="1"/>
  <c r="Q176" i="1"/>
  <c r="H163" i="1"/>
  <c r="H164" i="1"/>
  <c r="H165" i="1"/>
  <c r="H172" i="1"/>
  <c r="H166" i="1"/>
  <c r="H167" i="1"/>
  <c r="H157" i="1"/>
  <c r="H168" i="1"/>
  <c r="H169" i="1"/>
  <c r="H170" i="1"/>
  <c r="H173" i="1"/>
  <c r="H179" i="1"/>
  <c r="H174" i="1"/>
  <c r="H175" i="1"/>
  <c r="H181" i="1"/>
  <c r="H176" i="1"/>
  <c r="S163" i="1"/>
  <c r="S164" i="1"/>
  <c r="S165" i="1"/>
  <c r="S172" i="1"/>
  <c r="S166" i="1"/>
  <c r="S167" i="1"/>
  <c r="S157" i="1"/>
  <c r="S168" i="1"/>
  <c r="S169" i="1"/>
  <c r="S170" i="1"/>
  <c r="S173" i="1"/>
  <c r="S179" i="1"/>
  <c r="S174" i="1"/>
  <c r="S175" i="1"/>
  <c r="S181" i="1"/>
  <c r="S176" i="1"/>
  <c r="K163" i="1"/>
  <c r="K164" i="1"/>
  <c r="K165" i="1"/>
  <c r="K172" i="1"/>
  <c r="K166" i="1"/>
  <c r="K167" i="1"/>
  <c r="K157" i="1"/>
  <c r="K173" i="1"/>
  <c r="K179" i="1"/>
  <c r="K174" i="1"/>
  <c r="K175" i="1"/>
  <c r="K181" i="1"/>
  <c r="K176" i="1"/>
  <c r="S199" i="1" l="1"/>
  <c r="Q199" i="1"/>
  <c r="K199" i="1"/>
  <c r="H199" i="1"/>
  <c r="S198" i="1"/>
  <c r="Q198" i="1"/>
  <c r="K198" i="1"/>
  <c r="H198" i="1"/>
  <c r="S197" i="1"/>
  <c r="Q197" i="1"/>
  <c r="K197" i="1"/>
  <c r="H197" i="1"/>
  <c r="S196" i="1"/>
  <c r="Q196" i="1"/>
  <c r="K196" i="1"/>
  <c r="H196" i="1"/>
  <c r="S195" i="1"/>
  <c r="Q195" i="1"/>
  <c r="K195" i="1"/>
  <c r="H195" i="1"/>
  <c r="S194" i="1"/>
  <c r="Q194" i="1"/>
  <c r="K194" i="1"/>
  <c r="H194" i="1"/>
  <c r="H207" i="1" l="1"/>
  <c r="K207" i="1"/>
  <c r="Q207" i="1"/>
  <c r="S207" i="1"/>
  <c r="H180" i="1"/>
  <c r="K180" i="1"/>
  <c r="Q180" i="1"/>
  <c r="S180" i="1"/>
  <c r="H171" i="1"/>
  <c r="K171" i="1"/>
  <c r="Q171" i="1"/>
  <c r="S171" i="1"/>
  <c r="H183" i="1"/>
  <c r="K183" i="1"/>
  <c r="Q183" i="1"/>
  <c r="S183" i="1"/>
  <c r="H184" i="1"/>
  <c r="K184" i="1"/>
  <c r="Q184" i="1"/>
  <c r="S184" i="1"/>
  <c r="H185" i="1"/>
  <c r="K185" i="1"/>
  <c r="Q185" i="1"/>
  <c r="S185" i="1"/>
  <c r="H188" i="1"/>
  <c r="K188" i="1"/>
  <c r="Q188" i="1"/>
  <c r="S188" i="1"/>
  <c r="H189" i="1"/>
  <c r="K189" i="1"/>
  <c r="Q189" i="1"/>
  <c r="S189" i="1"/>
  <c r="H190" i="1"/>
  <c r="K190" i="1"/>
  <c r="Q190" i="1"/>
  <c r="S190" i="1"/>
  <c r="H191" i="1"/>
  <c r="K191" i="1"/>
  <c r="Q191" i="1"/>
  <c r="S191" i="1"/>
  <c r="H206" i="1"/>
  <c r="K206" i="1"/>
  <c r="Q206" i="1"/>
  <c r="S206" i="1"/>
  <c r="H192" i="1" l="1"/>
  <c r="K192" i="1"/>
  <c r="Q192" i="1"/>
  <c r="S192" i="1"/>
  <c r="H193" i="1"/>
  <c r="K193" i="1"/>
  <c r="Q193" i="1"/>
  <c r="S193" i="1"/>
  <c r="H177" i="1"/>
  <c r="K177" i="1"/>
  <c r="Q177" i="1"/>
  <c r="S177" i="1"/>
  <c r="H201" i="1"/>
  <c r="K201" i="1"/>
  <c r="Q201" i="1"/>
  <c r="S201" i="1"/>
  <c r="H204" i="1"/>
  <c r="K204" i="1"/>
  <c r="Q204" i="1"/>
  <c r="S204" i="1"/>
  <c r="H205" i="1"/>
  <c r="K205" i="1"/>
  <c r="Q205" i="1"/>
  <c r="S205" i="1"/>
  <c r="H223" i="1"/>
  <c r="K223" i="1"/>
  <c r="Q223" i="1"/>
  <c r="S223" i="1"/>
  <c r="H211" i="1"/>
  <c r="K211" i="1"/>
  <c r="Q211" i="1"/>
  <c r="S211" i="1"/>
  <c r="H153" i="1"/>
  <c r="Q153" i="1"/>
  <c r="S153" i="1"/>
  <c r="Q215" i="1" l="1"/>
  <c r="H218" i="1"/>
  <c r="K218" i="1"/>
  <c r="Q218" i="1"/>
  <c r="S218" i="1"/>
  <c r="K217" i="1" l="1"/>
  <c r="S226" i="1"/>
  <c r="S225" i="1"/>
  <c r="H200" i="1"/>
  <c r="K200" i="1"/>
  <c r="Q200" i="1"/>
  <c r="S200" i="1"/>
  <c r="H186" i="1"/>
  <c r="K186" i="1"/>
  <c r="Q186" i="1"/>
  <c r="S186" i="1"/>
  <c r="H182" i="1"/>
  <c r="K182" i="1"/>
  <c r="Q182" i="1"/>
  <c r="S182" i="1"/>
  <c r="H210" i="1"/>
  <c r="K210" i="1"/>
  <c r="Q210" i="1"/>
  <c r="S210" i="1"/>
  <c r="H187" i="1"/>
  <c r="K187" i="1"/>
  <c r="Q187" i="1"/>
  <c r="S187" i="1"/>
  <c r="H178" i="1"/>
  <c r="K178" i="1"/>
  <c r="Q178" i="1"/>
  <c r="S178" i="1"/>
  <c r="H213" i="1"/>
  <c r="K213" i="1"/>
  <c r="Q213" i="1"/>
  <c r="S213" i="1"/>
  <c r="H214" i="1"/>
  <c r="K214" i="1"/>
  <c r="Q214" i="1"/>
  <c r="S214" i="1"/>
  <c r="H215" i="1"/>
  <c r="K215" i="1"/>
  <c r="S215" i="1"/>
  <c r="H219" i="1"/>
  <c r="K219" i="1"/>
  <c r="Q219" i="1"/>
  <c r="S219" i="1"/>
  <c r="H222" i="1"/>
  <c r="K222" i="1"/>
  <c r="Q222" i="1"/>
  <c r="S222" i="1"/>
  <c r="H212" i="1" l="1"/>
  <c r="H240" i="1"/>
  <c r="H241" i="1"/>
  <c r="H242" i="1"/>
  <c r="H243" i="1"/>
  <c r="H216" i="1" l="1"/>
  <c r="K216" i="1"/>
  <c r="Q216" i="1"/>
  <c r="S216" i="1"/>
  <c r="H208" i="1"/>
  <c r="K208" i="1"/>
  <c r="Q208" i="1"/>
  <c r="S208" i="1"/>
  <c r="H221" i="1"/>
  <c r="K221" i="1"/>
  <c r="Q221" i="1"/>
  <c r="S221" i="1"/>
  <c r="H209" i="1"/>
  <c r="K209" i="1"/>
  <c r="Q209" i="1"/>
  <c r="S209" i="1"/>
  <c r="H227" i="1"/>
  <c r="K227" i="1"/>
  <c r="Q227" i="1"/>
  <c r="S227" i="1"/>
  <c r="H228" i="1"/>
  <c r="K228" i="1"/>
  <c r="Q228" i="1"/>
  <c r="S228" i="1"/>
  <c r="H224" i="1"/>
  <c r="K224" i="1"/>
  <c r="Q224" i="1"/>
  <c r="S224" i="1"/>
  <c r="H217" i="1"/>
  <c r="Q217" i="1"/>
  <c r="S217" i="1"/>
  <c r="H229" i="1"/>
  <c r="K229" i="1"/>
  <c r="Q229" i="1"/>
  <c r="S229" i="1"/>
  <c r="H220" i="1"/>
  <c r="K220" i="1"/>
  <c r="Q220" i="1"/>
  <c r="S220" i="1"/>
  <c r="H230" i="1"/>
  <c r="K230" i="1"/>
  <c r="Q230" i="1"/>
  <c r="S230" i="1"/>
  <c r="H231" i="1"/>
  <c r="K231" i="1"/>
  <c r="Q231" i="1"/>
  <c r="S231" i="1"/>
  <c r="H232" i="1"/>
  <c r="K232" i="1"/>
  <c r="Q232" i="1"/>
  <c r="S232" i="1"/>
  <c r="H233" i="1"/>
  <c r="K233" i="1"/>
  <c r="Q233" i="1"/>
  <c r="S233" i="1"/>
  <c r="H234" i="1"/>
  <c r="K234" i="1"/>
  <c r="Q234" i="1"/>
  <c r="S234" i="1"/>
  <c r="H235" i="1"/>
  <c r="K235" i="1"/>
  <c r="Q235" i="1"/>
  <c r="S235" i="1"/>
  <c r="Q241" i="1" l="1"/>
  <c r="S241" i="1"/>
  <c r="K241" i="1"/>
  <c r="Q225" i="1"/>
  <c r="Q236" i="1"/>
  <c r="S236" i="1"/>
  <c r="Q237" i="1"/>
  <c r="S237" i="1"/>
  <c r="Q226" i="1"/>
  <c r="H225" i="1"/>
  <c r="K225" i="1"/>
  <c r="H236" i="1"/>
  <c r="K236" i="1"/>
  <c r="H237" i="1"/>
  <c r="K237" i="1"/>
  <c r="H226" i="1"/>
  <c r="K226" i="1"/>
  <c r="H248" i="1" l="1"/>
  <c r="K248" i="1"/>
  <c r="Q248" i="1"/>
  <c r="S248" i="1"/>
  <c r="K212" i="1"/>
  <c r="Q212" i="1"/>
  <c r="S212" i="1"/>
  <c r="H238" i="1"/>
  <c r="K238" i="1"/>
  <c r="Q238" i="1"/>
  <c r="S238" i="1"/>
  <c r="H247" i="1" l="1"/>
  <c r="K247" i="1"/>
  <c r="Q247" i="1"/>
  <c r="S247" i="1"/>
  <c r="H239" i="1"/>
  <c r="K239" i="1"/>
  <c r="Q239" i="1"/>
  <c r="S239" i="1"/>
  <c r="K240" i="1"/>
  <c r="Q240" i="1"/>
  <c r="S240" i="1"/>
  <c r="H249" i="1"/>
  <c r="K249" i="1"/>
  <c r="Q249" i="1"/>
  <c r="S249" i="1"/>
  <c r="H263" i="1"/>
  <c r="K263" i="1"/>
  <c r="Q263" i="1"/>
  <c r="S263" i="1"/>
  <c r="H264" i="1"/>
  <c r="K264" i="1"/>
  <c r="Q264" i="1"/>
  <c r="S264" i="1"/>
  <c r="H265" i="1"/>
  <c r="K265" i="1"/>
  <c r="Q265" i="1"/>
  <c r="S265" i="1"/>
  <c r="H266" i="1"/>
  <c r="K266" i="1"/>
  <c r="Q266" i="1"/>
  <c r="S266" i="1"/>
  <c r="K242" i="1"/>
  <c r="Q242" i="1"/>
  <c r="S242" i="1"/>
  <c r="K243" i="1"/>
  <c r="Q243" i="1"/>
  <c r="S243" i="1"/>
  <c r="K253" i="1"/>
  <c r="K254" i="1"/>
  <c r="K273" i="1"/>
  <c r="K255" i="1"/>
  <c r="K256" i="1"/>
  <c r="K259" i="1"/>
  <c r="K277" i="1"/>
  <c r="K262" i="1"/>
  <c r="K278" i="1"/>
  <c r="K279" i="1"/>
  <c r="K271" i="1"/>
  <c r="K260" i="1" l="1"/>
  <c r="K275" i="1"/>
  <c r="K17" i="1"/>
  <c r="K274" i="1"/>
  <c r="H244" i="1"/>
  <c r="K244" i="1"/>
  <c r="Q244" i="1"/>
  <c r="S244" i="1"/>
  <c r="H252" i="1"/>
  <c r="K252" i="1"/>
  <c r="Q252" i="1"/>
  <c r="S252" i="1"/>
  <c r="E383" i="1" l="1"/>
  <c r="Q276" i="1" l="1"/>
  <c r="K283" i="1" l="1"/>
  <c r="Q253" i="1"/>
  <c r="S253" i="1"/>
  <c r="Q254" i="1"/>
  <c r="S254" i="1"/>
  <c r="Q273" i="1"/>
  <c r="S273" i="1"/>
  <c r="Q255" i="1"/>
  <c r="S255" i="1"/>
  <c r="Q256" i="1"/>
  <c r="S256" i="1"/>
  <c r="Q257" i="1"/>
  <c r="S257" i="1"/>
  <c r="Q258" i="1"/>
  <c r="S258" i="1"/>
  <c r="Q269" i="1"/>
  <c r="S269" i="1"/>
  <c r="Q270" i="1"/>
  <c r="S270" i="1"/>
  <c r="Q259" i="1"/>
  <c r="S259" i="1"/>
  <c r="H253" i="1"/>
  <c r="H254" i="1"/>
  <c r="H273" i="1"/>
  <c r="H255" i="1"/>
  <c r="H256" i="1"/>
  <c r="H257" i="1"/>
  <c r="K257" i="1"/>
  <c r="H258" i="1"/>
  <c r="K258" i="1"/>
  <c r="H269" i="1"/>
  <c r="K269" i="1"/>
  <c r="H270" i="1"/>
  <c r="K270" i="1"/>
  <c r="H259" i="1"/>
  <c r="Q277" i="1"/>
  <c r="S277" i="1"/>
  <c r="Q262" i="1"/>
  <c r="S262" i="1"/>
  <c r="Q280" i="1"/>
  <c r="S280" i="1"/>
  <c r="H277" i="1"/>
  <c r="H262" i="1"/>
  <c r="H280" i="1"/>
  <c r="K280" i="1"/>
  <c r="H203" i="1"/>
  <c r="K292" i="1"/>
  <c r="K293" i="1"/>
  <c r="Q278" i="1"/>
  <c r="S278" i="1"/>
  <c r="Q279" i="1"/>
  <c r="S279" i="1"/>
  <c r="Q271" i="1"/>
  <c r="S271" i="1"/>
  <c r="Q272" i="1"/>
  <c r="S272" i="1"/>
  <c r="Q267" i="1"/>
  <c r="S267" i="1"/>
  <c r="Q281" i="1"/>
  <c r="S281" i="1"/>
  <c r="Q282" i="1"/>
  <c r="S282" i="1"/>
  <c r="Q268" i="1"/>
  <c r="S268" i="1"/>
  <c r="Q260" i="1"/>
  <c r="S260" i="1"/>
  <c r="H278" i="1"/>
  <c r="H279" i="1"/>
  <c r="H271" i="1"/>
  <c r="H272" i="1"/>
  <c r="K272" i="1"/>
  <c r="H267" i="1"/>
  <c r="K267" i="1"/>
  <c r="H281" i="1"/>
  <c r="K281" i="1"/>
  <c r="H282" i="1"/>
  <c r="K282" i="1"/>
  <c r="H268" i="1"/>
  <c r="K268" i="1"/>
  <c r="H260" i="1"/>
  <c r="H283" i="1"/>
  <c r="H284" i="1"/>
  <c r="H285" i="1"/>
  <c r="H286" i="1"/>
  <c r="Q283" i="1"/>
  <c r="Q284" i="1"/>
  <c r="Q285" i="1"/>
  <c r="Q286" i="1"/>
  <c r="Q275" i="1"/>
  <c r="Q287" i="1"/>
  <c r="Q288" i="1"/>
  <c r="S283" i="1"/>
  <c r="S284" i="1"/>
  <c r="S285" i="1"/>
  <c r="S286" i="1"/>
  <c r="K284" i="1"/>
  <c r="K285" i="1"/>
  <c r="K286" i="1"/>
  <c r="S275" i="1"/>
  <c r="S287" i="1"/>
  <c r="S288" i="1"/>
  <c r="K287" i="1"/>
  <c r="K288" i="1"/>
  <c r="K289" i="1"/>
  <c r="H275" i="1"/>
  <c r="H287" i="1"/>
  <c r="H288" i="1"/>
  <c r="K294" i="1"/>
  <c r="K306" i="1"/>
  <c r="K307" i="1"/>
  <c r="K308" i="1"/>
  <c r="K309" i="1"/>
  <c r="K310" i="1"/>
  <c r="K311" i="1"/>
  <c r="K290" i="1"/>
  <c r="K297" i="1"/>
  <c r="K298" i="1"/>
  <c r="K299" i="1"/>
  <c r="K291" i="1"/>
  <c r="K300" i="1"/>
  <c r="K250" i="1"/>
  <c r="K251" i="1"/>
  <c r="K301" i="1"/>
  <c r="K295" i="1"/>
  <c r="K302" i="1"/>
  <c r="K296" i="1"/>
  <c r="K303" i="1"/>
  <c r="K261" i="1"/>
  <c r="K276" i="1"/>
  <c r="K304" i="1"/>
  <c r="K305" i="1"/>
  <c r="K245" i="1"/>
  <c r="K246" i="1"/>
  <c r="K202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203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289" i="1"/>
  <c r="S290" i="1"/>
  <c r="S29" i="1"/>
  <c r="S297" i="1"/>
  <c r="S298" i="1"/>
  <c r="S299" i="1"/>
  <c r="S274" i="1"/>
  <c r="S291" i="1"/>
  <c r="S300" i="1"/>
  <c r="S250" i="1"/>
  <c r="S251" i="1"/>
  <c r="S301" i="1"/>
  <c r="S295" i="1"/>
  <c r="S302" i="1"/>
  <c r="S296" i="1"/>
  <c r="S303" i="1"/>
  <c r="S261" i="1"/>
  <c r="S276" i="1"/>
  <c r="S304" i="1"/>
  <c r="S305" i="1"/>
  <c r="S245" i="1"/>
  <c r="S246" i="1"/>
  <c r="S203" i="1"/>
  <c r="S202" i="1"/>
  <c r="S292" i="1"/>
  <c r="S293" i="1"/>
  <c r="S294" i="1"/>
  <c r="H202" i="1"/>
  <c r="Q203" i="1"/>
  <c r="Q202" i="1"/>
  <c r="H245" i="1"/>
  <c r="H246" i="1"/>
  <c r="Q245" i="1"/>
  <c r="Q246" i="1"/>
  <c r="Q304" i="1"/>
  <c r="Q305" i="1"/>
  <c r="H304" i="1"/>
  <c r="H305" i="1"/>
  <c r="Q289" i="1"/>
  <c r="Q290" i="1"/>
  <c r="Q17" i="1"/>
  <c r="Q297" i="1"/>
  <c r="Q298" i="1"/>
  <c r="Q299" i="1"/>
  <c r="Q274" i="1"/>
  <c r="Q291" i="1"/>
  <c r="H289" i="1"/>
  <c r="H290" i="1"/>
  <c r="H17" i="1"/>
  <c r="H297" i="1"/>
  <c r="H298" i="1"/>
  <c r="H299" i="1"/>
  <c r="H274" i="1"/>
  <c r="H291" i="1"/>
  <c r="Q300" i="1"/>
  <c r="Q250" i="1"/>
  <c r="Q251" i="1"/>
  <c r="Q301" i="1"/>
  <c r="H300" i="1"/>
  <c r="H250" i="1"/>
  <c r="H251" i="1"/>
  <c r="H301" i="1"/>
  <c r="Q295" i="1"/>
  <c r="H276" i="1"/>
  <c r="H295" i="1"/>
  <c r="H317" i="1"/>
  <c r="Q317" i="1"/>
  <c r="Q296" i="1"/>
  <c r="Q303" i="1"/>
  <c r="Q261" i="1"/>
  <c r="Q306" i="1"/>
  <c r="Q293" i="1"/>
  <c r="Q292" i="1"/>
  <c r="H296" i="1"/>
  <c r="H303" i="1"/>
  <c r="H261" i="1"/>
  <c r="H306" i="1"/>
  <c r="H293" i="1"/>
  <c r="H302" i="1"/>
  <c r="H311" i="1"/>
  <c r="H312" i="1"/>
  <c r="H318" i="1"/>
  <c r="Q302" i="1"/>
  <c r="Q311" i="1"/>
  <c r="Q312" i="1"/>
  <c r="Q323" i="1"/>
  <c r="H323" i="1"/>
  <c r="H321" i="1"/>
  <c r="Q327" i="1"/>
  <c r="H327" i="1"/>
  <c r="H319" i="1"/>
  <c r="Q318" i="1"/>
  <c r="Q322" i="1"/>
  <c r="Q320" i="1"/>
  <c r="Q329" i="1"/>
  <c r="H322" i="1"/>
  <c r="H320" i="1"/>
  <c r="H329" i="1"/>
  <c r="H344" i="1"/>
  <c r="Q344" i="1"/>
  <c r="Q326" i="1"/>
  <c r="H326" i="1"/>
  <c r="H342" i="1"/>
  <c r="Q342" i="1"/>
  <c r="Q321" i="1"/>
  <c r="Q324" i="1"/>
  <c r="Q332" i="1"/>
  <c r="Q325" i="1"/>
  <c r="Q333" i="1"/>
  <c r="H324" i="1"/>
  <c r="H332" i="1"/>
  <c r="H325" i="1"/>
  <c r="H333" i="1"/>
  <c r="H340" i="1"/>
  <c r="Q334" i="1"/>
  <c r="Q358" i="1"/>
  <c r="Q330" i="1"/>
  <c r="Q335" i="1"/>
  <c r="Q336" i="1"/>
  <c r="H334" i="1"/>
  <c r="H358" i="1"/>
  <c r="H330" i="1"/>
  <c r="H331" i="1"/>
  <c r="H335" i="1"/>
  <c r="H336" i="1"/>
  <c r="Q340" i="1"/>
  <c r="Q331" i="1"/>
  <c r="Q337" i="1"/>
  <c r="Q339" i="1"/>
  <c r="Q345" i="1"/>
  <c r="H337" i="1"/>
  <c r="H339" i="1"/>
  <c r="H345" i="1"/>
  <c r="Q360" i="1"/>
  <c r="H360" i="1"/>
  <c r="Q319" i="1"/>
  <c r="Q353" i="1"/>
  <c r="Q354" i="1"/>
  <c r="Q355" i="1"/>
  <c r="Q341" i="1"/>
  <c r="Q346" i="1"/>
  <c r="Q347" i="1"/>
  <c r="Q348" i="1"/>
  <c r="Q351" i="1"/>
  <c r="H341" i="1"/>
  <c r="H346" i="1"/>
  <c r="H347" i="1"/>
  <c r="H348" i="1"/>
  <c r="H351" i="1"/>
  <c r="H352" i="1"/>
  <c r="H353" i="1"/>
  <c r="Q352" i="1"/>
  <c r="H338" i="1"/>
  <c r="H394" i="1"/>
  <c r="Q394" i="1"/>
  <c r="H395" i="1"/>
  <c r="Q395" i="1"/>
  <c r="H396" i="1"/>
  <c r="N396" i="1"/>
  <c r="Q396" i="1" s="1"/>
  <c r="H397" i="1"/>
  <c r="Q397" i="1"/>
  <c r="H398" i="1"/>
  <c r="Q398" i="1"/>
  <c r="H399" i="1"/>
  <c r="Q399" i="1"/>
  <c r="H400" i="1"/>
  <c r="Q400" i="1"/>
  <c r="H401" i="1"/>
  <c r="Q401" i="1"/>
  <c r="H402" i="1"/>
  <c r="Q402" i="1"/>
  <c r="H403" i="1"/>
  <c r="Q403" i="1"/>
  <c r="H404" i="1"/>
  <c r="Q404" i="1"/>
  <c r="H405" i="1"/>
  <c r="Q405" i="1"/>
  <c r="H406" i="1"/>
  <c r="Q406" i="1"/>
  <c r="H407" i="1"/>
  <c r="Q407" i="1"/>
  <c r="H408" i="1"/>
  <c r="Q408" i="1"/>
  <c r="H409" i="1"/>
  <c r="H354" i="1"/>
  <c r="H355" i="1"/>
  <c r="H349" i="1"/>
  <c r="H356" i="1"/>
  <c r="H357" i="1"/>
  <c r="Q356" i="1"/>
  <c r="Q357" i="1"/>
  <c r="Q349" i="1"/>
  <c r="Q338" i="1"/>
  <c r="Q350" i="1"/>
  <c r="H367" i="1"/>
  <c r="H375" i="1"/>
  <c r="Q328" i="1"/>
  <c r="Q343" i="1"/>
  <c r="Q359" i="1"/>
  <c r="Q361" i="1"/>
  <c r="Q362" i="1"/>
  <c r="Q363" i="1"/>
  <c r="H328" i="1"/>
  <c r="H343" i="1"/>
  <c r="H359" i="1"/>
  <c r="H361" i="1"/>
  <c r="Q364" i="1"/>
  <c r="Q365" i="1"/>
  <c r="Q366" i="1"/>
  <c r="Q367" i="1"/>
  <c r="Q368" i="1"/>
  <c r="Q369" i="1"/>
  <c r="Q371" i="1"/>
  <c r="Q370" i="1"/>
  <c r="Q372" i="1"/>
  <c r="Q373" i="1"/>
  <c r="H362" i="1"/>
  <c r="H363" i="1"/>
  <c r="H364" i="1"/>
  <c r="H365" i="1"/>
  <c r="H366" i="1"/>
  <c r="H376" i="1"/>
  <c r="H377" i="1"/>
  <c r="H378" i="1"/>
  <c r="H379" i="1"/>
  <c r="H350" i="1"/>
  <c r="H368" i="1"/>
  <c r="H369" i="1"/>
  <c r="H370" i="1"/>
  <c r="H371" i="1"/>
  <c r="H372" i="1"/>
  <c r="H373" i="1"/>
  <c r="Q374" i="1"/>
  <c r="Q377" i="1"/>
  <c r="Q378" i="1"/>
  <c r="Q379" i="1"/>
  <c r="H383" i="1"/>
  <c r="Q387" i="1"/>
  <c r="H374" i="1"/>
  <c r="H380" i="1"/>
  <c r="H381" i="1"/>
  <c r="Q376" i="1"/>
  <c r="Q380" i="1"/>
  <c r="Q381" i="1"/>
  <c r="H391" i="1"/>
  <c r="Q382" i="1"/>
  <c r="Q383" i="1"/>
  <c r="H382" i="1"/>
  <c r="H384" i="1"/>
  <c r="Q392" i="1"/>
  <c r="Q384" i="1"/>
  <c r="Q385" i="1"/>
  <c r="Q386" i="1"/>
  <c r="Q375" i="1"/>
  <c r="H385" i="1"/>
  <c r="H386" i="1"/>
  <c r="H387" i="1"/>
  <c r="Q393" i="1"/>
  <c r="H393" i="1"/>
  <c r="Q390" i="1"/>
  <c r="Q388" i="1"/>
  <c r="Q38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294" i="1"/>
  <c r="Q307" i="1"/>
  <c r="Q308" i="1"/>
  <c r="Q315" i="1"/>
  <c r="Q316" i="1"/>
  <c r="Q309" i="1"/>
  <c r="Q314" i="1"/>
  <c r="Q310" i="1"/>
  <c r="Q313" i="1"/>
  <c r="Q423" i="1"/>
  <c r="Q424" i="1"/>
  <c r="H390" i="1"/>
  <c r="H392" i="1"/>
  <c r="H388" i="1"/>
  <c r="H38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292" i="1"/>
  <c r="H294" i="1"/>
  <c r="H307" i="1"/>
  <c r="H308" i="1"/>
  <c r="H315" i="1"/>
  <c r="H316" i="1"/>
  <c r="H309" i="1"/>
  <c r="H314" i="1"/>
  <c r="H310" i="1"/>
  <c r="H313" i="1"/>
  <c r="H423" i="1"/>
  <c r="K383" i="1" l="1"/>
  <c r="S396" i="1"/>
</calcChain>
</file>

<file path=xl/sharedStrings.xml><?xml version="1.0" encoding="utf-8"?>
<sst xmlns="http://schemas.openxmlformats.org/spreadsheetml/2006/main" count="816" uniqueCount="419">
  <si>
    <t>مشتری</t>
  </si>
  <si>
    <t>4*4</t>
  </si>
  <si>
    <t>زده شده</t>
  </si>
  <si>
    <t>5*5</t>
  </si>
  <si>
    <t>فتاحی یاسوج</t>
  </si>
  <si>
    <t>صالحی</t>
  </si>
  <si>
    <t>شمس المهدی</t>
  </si>
  <si>
    <t>طایفی</t>
  </si>
  <si>
    <t>اکبری</t>
  </si>
  <si>
    <t>جعفری زاده</t>
  </si>
  <si>
    <t>شبنم</t>
  </si>
  <si>
    <t>رعیتی</t>
  </si>
  <si>
    <t>آرمان</t>
  </si>
  <si>
    <t>خاکزاد</t>
  </si>
  <si>
    <t>reas</t>
  </si>
  <si>
    <t>فاتحی</t>
  </si>
  <si>
    <t>اطمینان</t>
  </si>
  <si>
    <t>نور کنگ</t>
  </si>
  <si>
    <t>آنتیک</t>
  </si>
  <si>
    <t>مانده</t>
  </si>
  <si>
    <t>اوپال</t>
  </si>
  <si>
    <t>رویال لار</t>
  </si>
  <si>
    <t>ایران زر</t>
  </si>
  <si>
    <t>نقره ای</t>
  </si>
  <si>
    <t>طلایی</t>
  </si>
  <si>
    <t>5*10</t>
  </si>
  <si>
    <t xml:space="preserve"> </t>
  </si>
  <si>
    <t>محمدی شیراز</t>
  </si>
  <si>
    <t>10*10</t>
  </si>
  <si>
    <t>13*13</t>
  </si>
  <si>
    <t>مدل یا رنگ</t>
  </si>
  <si>
    <t>نگین شهر لامرد</t>
  </si>
  <si>
    <t>نیک سیر</t>
  </si>
  <si>
    <t>روح پرور یزد</t>
  </si>
  <si>
    <t>ماهک لار</t>
  </si>
  <si>
    <t>طلایی 4*4</t>
  </si>
  <si>
    <t>نقره ای 4*4</t>
  </si>
  <si>
    <t>طلای بهمن پیرانشهر</t>
  </si>
  <si>
    <t>طلذای جمانه</t>
  </si>
  <si>
    <t>سکه ای</t>
  </si>
  <si>
    <t>سفارش کسر شده</t>
  </si>
  <si>
    <t>طلای حجت قبادی</t>
  </si>
  <si>
    <t>قدیری کوچک</t>
  </si>
  <si>
    <t>پاسارگاد گراش</t>
  </si>
  <si>
    <t>دیانا بندرعباس</t>
  </si>
  <si>
    <t>تاج لار</t>
  </si>
  <si>
    <t>کامجو لار</t>
  </si>
  <si>
    <t>یاس مظفری</t>
  </si>
  <si>
    <t>ایلیا</t>
  </si>
  <si>
    <t>زرین طلا</t>
  </si>
  <si>
    <t>لیا</t>
  </si>
  <si>
    <t>قائم لار</t>
  </si>
  <si>
    <t>میلانی ماکو</t>
  </si>
  <si>
    <t>عبدوئی</t>
  </si>
  <si>
    <t>طلای تانیا</t>
  </si>
  <si>
    <t>طلای پروین</t>
  </si>
  <si>
    <t>مرتضی علی</t>
  </si>
  <si>
    <t>تاریخ</t>
  </si>
  <si>
    <t>کیان زر</t>
  </si>
  <si>
    <t>نادری تبریز</t>
  </si>
  <si>
    <t>موژان</t>
  </si>
  <si>
    <t>3*3</t>
  </si>
  <si>
    <t>شادمهر</t>
  </si>
  <si>
    <t>مایا</t>
  </si>
  <si>
    <t>محقق</t>
  </si>
  <si>
    <t>11 شهریور</t>
  </si>
  <si>
    <t>13 شهریور</t>
  </si>
  <si>
    <t>18 شهریور</t>
  </si>
  <si>
    <t>19 شهریور</t>
  </si>
  <si>
    <t>25 شهریور</t>
  </si>
  <si>
    <t>20 مرداد</t>
  </si>
  <si>
    <t>امیری لامرد</t>
  </si>
  <si>
    <t>14 مرداد</t>
  </si>
  <si>
    <t>ناهید گالری</t>
  </si>
  <si>
    <t>طلا ثنای شیراز</t>
  </si>
  <si>
    <t>28 شهریور</t>
  </si>
  <si>
    <t>رضای تبریز</t>
  </si>
  <si>
    <t>31 شهریور</t>
  </si>
  <si>
    <t>طلای نادری لردگان</t>
  </si>
  <si>
    <t>2 مهر</t>
  </si>
  <si>
    <t xml:space="preserve"> 10*10</t>
  </si>
  <si>
    <t>فاتحی لار</t>
  </si>
  <si>
    <t>4 مهر</t>
  </si>
  <si>
    <t>مهدی کرمزاده بوشهر</t>
  </si>
  <si>
    <t>رز گلد</t>
  </si>
  <si>
    <t>5 مهر</t>
  </si>
  <si>
    <t>واعظی تبریز</t>
  </si>
  <si>
    <t>14 مهر</t>
  </si>
  <si>
    <t>زمردی</t>
  </si>
  <si>
    <t>16 مهر</t>
  </si>
  <si>
    <t>نیک خواه بناب</t>
  </si>
  <si>
    <t>نگین{شمالی نسب}</t>
  </si>
  <si>
    <t>جا سکه ای</t>
  </si>
  <si>
    <t>17 مهر</t>
  </si>
  <si>
    <t>نقره اوپال</t>
  </si>
  <si>
    <t>طلای آوین ماکو</t>
  </si>
  <si>
    <t>21 مهر</t>
  </si>
  <si>
    <t>مفتاحی</t>
  </si>
  <si>
    <t>یعقوبی</t>
  </si>
  <si>
    <t>2*2</t>
  </si>
  <si>
    <t>24 مهر</t>
  </si>
  <si>
    <t>قبادی</t>
  </si>
  <si>
    <t>23 مهر</t>
  </si>
  <si>
    <t>19 مهر</t>
  </si>
  <si>
    <t>عماد زنجان</t>
  </si>
  <si>
    <t>29 مهر</t>
  </si>
  <si>
    <t>کرمی لامرد</t>
  </si>
  <si>
    <t>رعیتی خرم بید</t>
  </si>
  <si>
    <t>30 مهر</t>
  </si>
  <si>
    <t>نیشابوری یزد</t>
  </si>
  <si>
    <t>نامور شیراز</t>
  </si>
  <si>
    <t>1 آبان</t>
  </si>
  <si>
    <t>بغدادی مهاباد</t>
  </si>
  <si>
    <t>2 آبان</t>
  </si>
  <si>
    <t>7 آبان</t>
  </si>
  <si>
    <t>سهیل بهرامی</t>
  </si>
  <si>
    <t>9 آبان</t>
  </si>
  <si>
    <t>فرامرزی</t>
  </si>
  <si>
    <t>1 آباد</t>
  </si>
  <si>
    <t>خانم کاظمی</t>
  </si>
  <si>
    <t>طلای لیا زرین دشت</t>
  </si>
  <si>
    <t>15 آبان</t>
  </si>
  <si>
    <t>آپادانا شیراز</t>
  </si>
  <si>
    <t>28 آبان</t>
  </si>
  <si>
    <t>شیراز گلد</t>
  </si>
  <si>
    <t>وطن خواه شیراز</t>
  </si>
  <si>
    <t>آوین ماکو</t>
  </si>
  <si>
    <t>30 آبان</t>
  </si>
  <si>
    <t>عرفان شیراز</t>
  </si>
  <si>
    <t>مهدی اولادی شیراز</t>
  </si>
  <si>
    <t>طلای یعقوبی</t>
  </si>
  <si>
    <t>11 آذر</t>
  </si>
  <si>
    <t>طلای قائم</t>
  </si>
  <si>
    <t>پارسه</t>
  </si>
  <si>
    <t>16 آذر</t>
  </si>
  <si>
    <t>فیروزه</t>
  </si>
  <si>
    <t>17 آذر</t>
  </si>
  <si>
    <t>عروس بندرعباس</t>
  </si>
  <si>
    <t>19 آذر</t>
  </si>
  <si>
    <t>22 آذر</t>
  </si>
  <si>
    <t>منصف</t>
  </si>
  <si>
    <t>24 آذر</t>
  </si>
  <si>
    <t>نیل ماه</t>
  </si>
  <si>
    <t>بهاری</t>
  </si>
  <si>
    <t>کارنلین</t>
  </si>
  <si>
    <t>افشار</t>
  </si>
  <si>
    <t>فریاس بوشهر</t>
  </si>
  <si>
    <t>21 آذر</t>
  </si>
  <si>
    <t>کورش برزی</t>
  </si>
  <si>
    <t>نادری سنندج</t>
  </si>
  <si>
    <t>26 آذر</t>
  </si>
  <si>
    <t>ملکه</t>
  </si>
  <si>
    <t>20 آذر</t>
  </si>
  <si>
    <t xml:space="preserve">لیا </t>
  </si>
  <si>
    <t>27 آذر</t>
  </si>
  <si>
    <t>رفیعی</t>
  </si>
  <si>
    <t xml:space="preserve"> کروشه 10*10</t>
  </si>
  <si>
    <t>در جاسکه ای</t>
  </si>
  <si>
    <t>10*10 کروشه</t>
  </si>
  <si>
    <t>منصوری</t>
  </si>
  <si>
    <t>طلای امیری</t>
  </si>
  <si>
    <t>رحمتی لرستان</t>
  </si>
  <si>
    <t>مقایسه زده شده و زده ی جدید</t>
  </si>
  <si>
    <t>نفیس یزد</t>
  </si>
  <si>
    <t>9 دی</t>
  </si>
  <si>
    <t>1 دی</t>
  </si>
  <si>
    <t>8 دی</t>
  </si>
  <si>
    <t>خاص فسا</t>
  </si>
  <si>
    <t>دلاریس</t>
  </si>
  <si>
    <t>النا</t>
  </si>
  <si>
    <t>آلین داراب</t>
  </si>
  <si>
    <t>12 دی</t>
  </si>
  <si>
    <t>فرشید ارومیه</t>
  </si>
  <si>
    <t>محسن نادری لردگان</t>
  </si>
  <si>
    <t>15 دی</t>
  </si>
  <si>
    <t>قو طلایی</t>
  </si>
  <si>
    <t>18 دی</t>
  </si>
  <si>
    <t>ماندگار شیراز</t>
  </si>
  <si>
    <t>فدایی نورآباد</t>
  </si>
  <si>
    <t>کرمزاده بوشهر</t>
  </si>
  <si>
    <t>زر گلد</t>
  </si>
  <si>
    <t>زارع پارسیان</t>
  </si>
  <si>
    <t>29 دی</t>
  </si>
  <si>
    <t>23 دی</t>
  </si>
  <si>
    <t>احسان مردانه</t>
  </si>
  <si>
    <t>احسان زنانه</t>
  </si>
  <si>
    <t>لوگو 6*6</t>
  </si>
  <si>
    <t>لوگو 7*7</t>
  </si>
  <si>
    <t>متن 5*10</t>
  </si>
  <si>
    <t>متن 5.5*11</t>
  </si>
  <si>
    <t>3 بهمن</t>
  </si>
  <si>
    <t>قاسم طالب</t>
  </si>
  <si>
    <t>زنده شده الان</t>
  </si>
  <si>
    <t>8 بهمن</t>
  </si>
  <si>
    <t>میداس آبادان</t>
  </si>
  <si>
    <t>10 بهمن</t>
  </si>
  <si>
    <t>رئاس کرمان</t>
  </si>
  <si>
    <t>11 بهمن</t>
  </si>
  <si>
    <t>14 بهمن</t>
  </si>
  <si>
    <t>عطااللهی</t>
  </si>
  <si>
    <t>17 بهمن</t>
  </si>
  <si>
    <t>شهسواری نیریز</t>
  </si>
  <si>
    <t>گوهر سنگ حبیب</t>
  </si>
  <si>
    <t>طلای کریمی ششده</t>
  </si>
  <si>
    <t>الماس بوشهر</t>
  </si>
  <si>
    <t>خنشا داراب</t>
  </si>
  <si>
    <t>خسروی میانه</t>
  </si>
  <si>
    <t>رز گلد بوشهر برازجان</t>
  </si>
  <si>
    <t>20 بهمن</t>
  </si>
  <si>
    <t>23 بهمن</t>
  </si>
  <si>
    <t>سیز مازندران</t>
  </si>
  <si>
    <t>24 بهمن</t>
  </si>
  <si>
    <t>زرگر نژاد بنارویه</t>
  </si>
  <si>
    <t>متین داراب</t>
  </si>
  <si>
    <t>حجت قبادی</t>
  </si>
  <si>
    <t>جام جم لامرد</t>
  </si>
  <si>
    <t>25 بهمن</t>
  </si>
  <si>
    <t>28 بهمن</t>
  </si>
  <si>
    <t>1 اسفند</t>
  </si>
  <si>
    <t>4 اسفند</t>
  </si>
  <si>
    <t>دایان بندرعباس</t>
  </si>
  <si>
    <t>شهابی بابل</t>
  </si>
  <si>
    <t>12 اسفند</t>
  </si>
  <si>
    <t>14 اسفند</t>
  </si>
  <si>
    <t>پور سید</t>
  </si>
  <si>
    <t>الین داراب</t>
  </si>
  <si>
    <t>16 اسفند</t>
  </si>
  <si>
    <t>ادیب فسا</t>
  </si>
  <si>
    <t>محمد یعقوبی</t>
  </si>
  <si>
    <t>حاجی نژاد تبریز</t>
  </si>
  <si>
    <t>18 اسفند</t>
  </si>
  <si>
    <t>19 اسفند</t>
  </si>
  <si>
    <t>روح الله اسلام پناه</t>
  </si>
  <si>
    <t>8.5*4.5</t>
  </si>
  <si>
    <t>22 اسفند</t>
  </si>
  <si>
    <t>براوا مهاباد</t>
  </si>
  <si>
    <t>لیا شیراز</t>
  </si>
  <si>
    <t>25 اسفند</t>
  </si>
  <si>
    <t>قره باغی ماکو</t>
  </si>
  <si>
    <t>26 اسفند</t>
  </si>
  <si>
    <t>6 فروردین</t>
  </si>
  <si>
    <t>دلاریس سیرجان</t>
  </si>
  <si>
    <t>یاس</t>
  </si>
  <si>
    <t>10 فروردین</t>
  </si>
  <si>
    <t>نیلماه</t>
  </si>
  <si>
    <t>27 فروردین</t>
  </si>
  <si>
    <t>اولویت</t>
  </si>
  <si>
    <t>تربتی لار</t>
  </si>
  <si>
    <t>18 اردیبهشت</t>
  </si>
  <si>
    <t>پرشیا استهبان</t>
  </si>
  <si>
    <t>28 اردیبهشت</t>
  </si>
  <si>
    <t>جعفرزاده بهبهان</t>
  </si>
  <si>
    <t>29 اردیبهشت</t>
  </si>
  <si>
    <t>برسام فسا</t>
  </si>
  <si>
    <t>کامجو</t>
  </si>
  <si>
    <t>5 خرداد</t>
  </si>
  <si>
    <t>7 خرداد</t>
  </si>
  <si>
    <t>8 خرداد</t>
  </si>
  <si>
    <t>دایره ای</t>
  </si>
  <si>
    <t>10 خرداد</t>
  </si>
  <si>
    <t>عروس کردستان</t>
  </si>
  <si>
    <t>11 خرداد</t>
  </si>
  <si>
    <t>18 خرداد</t>
  </si>
  <si>
    <t>لیا زرین دشت</t>
  </si>
  <si>
    <t>طلای حکاکی الاسراء</t>
  </si>
  <si>
    <t>31 خرداد</t>
  </si>
  <si>
    <t>عبدل پور</t>
  </si>
  <si>
    <t>محمد کریمی سروستان</t>
  </si>
  <si>
    <t>نگین قشم</t>
  </si>
  <si>
    <t>16 تیر</t>
  </si>
  <si>
    <t>بهاری مرند</t>
  </si>
  <si>
    <t>19 تیر</t>
  </si>
  <si>
    <t>همایون کرمان</t>
  </si>
  <si>
    <t>ایلیا بوشهر</t>
  </si>
  <si>
    <t>25 تیر</t>
  </si>
  <si>
    <t>کریمی ششده</t>
  </si>
  <si>
    <t>نوروزیان</t>
  </si>
  <si>
    <t>28 تیر</t>
  </si>
  <si>
    <t>2 مرداد</t>
  </si>
  <si>
    <t>ونوس اوز</t>
  </si>
  <si>
    <t>1 مرداد</t>
  </si>
  <si>
    <t>زده شده الان</t>
  </si>
  <si>
    <t>گلوریا گراش</t>
  </si>
  <si>
    <t>26 مرداد</t>
  </si>
  <si>
    <t>25 مرداد</t>
  </si>
  <si>
    <t>دیاموند دیلم</t>
  </si>
  <si>
    <t>30 مرداد</t>
  </si>
  <si>
    <t>بختیاری حاجی آباد</t>
  </si>
  <si>
    <t>6 شهریور</t>
  </si>
  <si>
    <t>8 شهریور</t>
  </si>
  <si>
    <t>12 شهریور</t>
  </si>
  <si>
    <t>ثنا</t>
  </si>
  <si>
    <t>آپادانا</t>
  </si>
  <si>
    <t>گلباران</t>
  </si>
  <si>
    <t>طلای مهدی</t>
  </si>
  <si>
    <t>نامور</t>
  </si>
  <si>
    <t>سرویس کوچک</t>
  </si>
  <si>
    <t>ملکه سروستان</t>
  </si>
  <si>
    <t>ملکه فسا</t>
  </si>
  <si>
    <t>20 شهریور</t>
  </si>
  <si>
    <t>نگین چالدران</t>
  </si>
  <si>
    <t>سلماسی بجنورد</t>
  </si>
  <si>
    <t>پسته رفسنجان مهدی</t>
  </si>
  <si>
    <t>نمایشگاه</t>
  </si>
  <si>
    <t>قاسمی</t>
  </si>
  <si>
    <t>26 شهریور</t>
  </si>
  <si>
    <t>27 شهریور</t>
  </si>
  <si>
    <t>29 شهریور</t>
  </si>
  <si>
    <t>قره باغی ماکو 2</t>
  </si>
  <si>
    <t>خلیل حبیب زاده</t>
  </si>
  <si>
    <t>جهان ارومیه</t>
  </si>
  <si>
    <t>1 مهر</t>
  </si>
  <si>
    <t xml:space="preserve">زر گلد بوشهر </t>
  </si>
  <si>
    <t xml:space="preserve">نیازی یاسوج </t>
  </si>
  <si>
    <t xml:space="preserve"> زارع پارسیان </t>
  </si>
  <si>
    <t>3 مهر</t>
  </si>
  <si>
    <t>6 مهر</t>
  </si>
  <si>
    <t>7 مهر</t>
  </si>
  <si>
    <t>8 مهر</t>
  </si>
  <si>
    <t>*</t>
  </si>
  <si>
    <t>قره باغی 2</t>
  </si>
  <si>
    <t>قره باغی 1</t>
  </si>
  <si>
    <t>27 مهر</t>
  </si>
  <si>
    <t>کوه نور</t>
  </si>
  <si>
    <t>28 مهر</t>
  </si>
  <si>
    <t>کارزان ارومیه</t>
  </si>
  <si>
    <t>رویال گلد سیرجان</t>
  </si>
  <si>
    <t>5 آبان</t>
  </si>
  <si>
    <t>عبدل پور داراب</t>
  </si>
  <si>
    <t>پیمان گچساران</t>
  </si>
  <si>
    <t>10 آبان</t>
  </si>
  <si>
    <t>زرسا داراب</t>
  </si>
  <si>
    <t>110 ساری</t>
  </si>
  <si>
    <t>BOR</t>
  </si>
  <si>
    <t>11 آبان</t>
  </si>
  <si>
    <t>فرامرزی لار</t>
  </si>
  <si>
    <t>ملورین سیرجان حسینی</t>
  </si>
  <si>
    <t>18 آبان</t>
  </si>
  <si>
    <t>زی نور</t>
  </si>
  <si>
    <t>21 لامرد</t>
  </si>
  <si>
    <t>میعاد فسا</t>
  </si>
  <si>
    <t>22 آبان</t>
  </si>
  <si>
    <t>برهتا</t>
  </si>
  <si>
    <t>شوین</t>
  </si>
  <si>
    <t>ولریوس</t>
  </si>
  <si>
    <t>سابینا</t>
  </si>
  <si>
    <t>نادیرا</t>
  </si>
  <si>
    <t>والیوس تاباکا</t>
  </si>
  <si>
    <t>سرگیز</t>
  </si>
  <si>
    <t>ژیوا</t>
  </si>
  <si>
    <t>نوژین</t>
  </si>
  <si>
    <t>ارنا</t>
  </si>
  <si>
    <t>روناک</t>
  </si>
  <si>
    <t>چرم یشم</t>
  </si>
  <si>
    <t>محمد الیگودرز</t>
  </si>
  <si>
    <t>25 آبان</t>
  </si>
  <si>
    <t>27 آبان</t>
  </si>
  <si>
    <t>زرگریان شوشتر</t>
  </si>
  <si>
    <t>جهان طلا ارومیه</t>
  </si>
  <si>
    <t>الماس نور</t>
  </si>
  <si>
    <t>ثمین</t>
  </si>
  <si>
    <t>12 آذر</t>
  </si>
  <si>
    <t>bior</t>
  </si>
  <si>
    <t>5 آذر</t>
  </si>
  <si>
    <t>شاهسون</t>
  </si>
  <si>
    <t>15 آذر</t>
  </si>
  <si>
    <t>عطر احسان</t>
  </si>
  <si>
    <t>حمید راد</t>
  </si>
  <si>
    <t>18 آذر</t>
  </si>
  <si>
    <t>اجسان رزمجو</t>
  </si>
  <si>
    <t>3*4.5</t>
  </si>
  <si>
    <t>4*5.5</t>
  </si>
  <si>
    <t>شریفی</t>
  </si>
  <si>
    <t>3 دی</t>
  </si>
  <si>
    <t>2 دی</t>
  </si>
  <si>
    <t>30 آذر</t>
  </si>
  <si>
    <t>نادری لردگان</t>
  </si>
  <si>
    <t>طلا افرینش  کرمان</t>
  </si>
  <si>
    <t>طلا امیران</t>
  </si>
  <si>
    <t>23 آذر</t>
  </si>
  <si>
    <t>طلا دورسین</t>
  </si>
  <si>
    <t>29 آذر</t>
  </si>
  <si>
    <t>لاوین زاهدان</t>
  </si>
  <si>
    <t>الماس نور گله دار</t>
  </si>
  <si>
    <t>17 دی</t>
  </si>
  <si>
    <t>مریدا کیش</t>
  </si>
  <si>
    <t>مارال گلد طهماسبی اهر</t>
  </si>
  <si>
    <t>لامرد21</t>
  </si>
  <si>
    <t>24 اسفند</t>
  </si>
  <si>
    <t>13 بهمن</t>
  </si>
  <si>
    <t>شیدا فیروز اباد</t>
  </si>
  <si>
    <t>بهمن 26</t>
  </si>
  <si>
    <t>نقره الگون</t>
  </si>
  <si>
    <t>30بهمن</t>
  </si>
  <si>
    <t>26 بهمن</t>
  </si>
  <si>
    <t>30 بهمن</t>
  </si>
  <si>
    <t>گلنا تبریز</t>
  </si>
  <si>
    <t>6 اسفند</t>
  </si>
  <si>
    <t>7 اسفند</t>
  </si>
  <si>
    <t>9 اسفند</t>
  </si>
  <si>
    <t>14بهمن</t>
  </si>
  <si>
    <t>موسی میلان</t>
  </si>
  <si>
    <t>30فروردین</t>
  </si>
  <si>
    <t>آذین لار اقبال</t>
  </si>
  <si>
    <t>قره باغی</t>
  </si>
  <si>
    <t xml:space="preserve"> اردیبهشت ا</t>
  </si>
  <si>
    <t>اردیبهشت 1</t>
  </si>
  <si>
    <t>14اردیبهشت</t>
  </si>
  <si>
    <t>23اردیبهشت</t>
  </si>
  <si>
    <t>ویحان دیلم</t>
  </si>
  <si>
    <t>27اردیبهشت</t>
  </si>
  <si>
    <t>29اردیبهشت</t>
  </si>
  <si>
    <t>30اردیبهشت</t>
  </si>
  <si>
    <t>نفیس لامرد</t>
  </si>
  <si>
    <t>قبادی لار</t>
  </si>
  <si>
    <t>4خرداد</t>
  </si>
  <si>
    <t>زرگلد بوشهر</t>
  </si>
  <si>
    <t>16 خرداد</t>
  </si>
  <si>
    <t>بدری ماکو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</si>
</sst>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4"/>
      <color theme="1"/>
      <name val="B Farnaz"/>
    </font>
    <font>
      <sz val="28"/>
      <color theme="1"/>
      <name val="B Farnaz"/>
    </font>
    <font>
      <sz val="8"/>
      <name val="Calibri"/>
      <family val="2"/>
      <scheme val="minor"/>
    </font>
    <font>
      <sz val="36"/>
      <color theme="0"/>
      <name val="B Farnaz"/>
    </font>
    <font>
      <sz val="24"/>
      <color theme="1"/>
      <name val="B Farnaz"/>
    </font>
    <font>
      <sz val="26"/>
      <color theme="1"/>
      <name val="B Farnaz"/>
    </font>
    <font>
      <sz val="14"/>
      <color theme="1"/>
      <name val="Vazir"/>
      <family val="2"/>
    </font>
    <font>
      <b/>
      <sz val="14"/>
      <color theme="1"/>
      <name val="Vazir"/>
      <family val="2"/>
    </font>
    <font>
      <sz val="26"/>
      <color theme="0"/>
      <name val="B Farnaz"/>
    </font>
    <font>
      <sz val="28"/>
      <color theme="0"/>
      <name val="B Farnaz"/>
    </font>
    <font>
      <sz val="14"/>
      <color rgb="FFFF0000"/>
      <name val="B Farnaz"/>
    </font>
    <font>
      <sz val="24"/>
      <color theme="1"/>
      <name val="B Nazanin"/>
      <charset val="178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024E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2" fillId="8" borderId="15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6" borderId="23" xfId="0" applyFont="1" applyFill="1" applyBorder="1" applyAlignment="1">
      <alignment horizontal="center" vertical="center"/>
    </xf>
    <xf numFmtId="0" fontId="6" fillId="8" borderId="23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29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7" fillId="5" borderId="28" xfId="0" applyFont="1" applyFill="1" applyBorder="1" applyAlignment="1">
      <alignment horizontal="center" vertical="center"/>
    </xf>
    <xf numFmtId="0" fontId="7" fillId="5" borderId="27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7" fillId="5" borderId="26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10" borderId="8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1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024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8640520"/>
        <c:axId val="454078704"/>
      </c:barChart>
      <c:catAx>
        <c:axId val="2586405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078704"/>
        <c:crosses val="autoZero"/>
        <c:auto val="1"/>
        <c:lblAlgn val="ctr"/>
        <c:lblOffset val="100"/>
        <c:noMultiLvlLbl val="0"/>
      </c:catAx>
      <c:valAx>
        <c:axId val="45407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640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99E6C65-2100-4FED-A263-AE20BBB1C34F}">
  <sheetPr/>
  <sheetViews>
    <sheetView zoomScale="10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5882" cy="629397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1A1DD6-754C-8899-C432-B3673FC74A4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5646A-6D94-4C88-A522-4846B6D47A4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24"/>
  <sheetViews>
    <sheetView rightToLeft="1" tabSelected="1" zoomScale="70" zoomScaleNormal="70" workbookViewId="0">
      <pane ySplit="1" topLeftCell="A2" activePane="bottomLeft" state="frozen"/>
      <selection pane="bottomLeft" activeCell="O4" sqref="O4"/>
    </sheetView>
  </sheetViews>
  <sheetFormatPr defaultColWidth="22.85546875" defaultRowHeight="35.25" customHeight="1" x14ac:dyDescent="0.25"/>
  <cols>
    <col min="1" max="1" width="34.7109375" style="76" customWidth="1"/>
    <col min="2" max="2" width="22.85546875" style="1"/>
    <col min="3" max="3" width="18" style="1" customWidth="1"/>
    <col min="4" max="4" width="19.42578125" style="46" bestFit="1" customWidth="1"/>
    <col min="5" max="5" width="13.140625" style="1" customWidth="1"/>
    <col min="6" max="6" width="13.140625" style="88" bestFit="1" customWidth="1"/>
    <col min="7" max="7" width="15.28515625" style="1" bestFit="1" customWidth="1"/>
    <col min="8" max="8" width="28.28515625" style="7" customWidth="1"/>
    <col min="9" max="9" width="11.140625" style="7" customWidth="1"/>
    <col min="10" max="10" width="13.5703125" style="7" customWidth="1"/>
    <col min="11" max="11" width="14.85546875" style="79" customWidth="1"/>
    <col min="12" max="12" width="22.85546875" style="1"/>
    <col min="13" max="13" width="22.85546875" style="56"/>
    <col min="14" max="14" width="11.85546875" style="1" customWidth="1"/>
    <col min="15" max="15" width="15.140625" style="88" bestFit="1" customWidth="1"/>
    <col min="16" max="16" width="15.28515625" style="1" bestFit="1" customWidth="1"/>
    <col min="17" max="17" width="22.85546875" style="7"/>
    <col min="18" max="18" width="13.5703125" style="7" customWidth="1"/>
    <col min="19" max="19" width="14.28515625" style="31" customWidth="1"/>
    <col min="20" max="16384" width="22.85546875" style="1"/>
  </cols>
  <sheetData>
    <row r="1" spans="1:19" s="76" customFormat="1" ht="35.25" customHeight="1" thickBot="1" x14ac:dyDescent="0.3">
      <c r="A1" s="67" t="s">
        <v>0</v>
      </c>
      <c r="B1" s="67" t="s">
        <v>1</v>
      </c>
      <c r="C1" s="67" t="s">
        <v>57</v>
      </c>
      <c r="D1" s="67" t="s">
        <v>40</v>
      </c>
      <c r="E1" s="67" t="s">
        <v>2</v>
      </c>
      <c r="F1" s="67" t="s">
        <v>30</v>
      </c>
      <c r="G1" s="67" t="s">
        <v>281</v>
      </c>
      <c r="H1" s="67" t="s">
        <v>19</v>
      </c>
      <c r="I1" s="77"/>
      <c r="J1" s="77" t="s">
        <v>246</v>
      </c>
      <c r="K1" s="78" t="s">
        <v>162</v>
      </c>
      <c r="L1" s="67" t="s">
        <v>3</v>
      </c>
      <c r="M1" s="67" t="s">
        <v>40</v>
      </c>
      <c r="N1" s="67" t="s">
        <v>2</v>
      </c>
      <c r="O1" s="67" t="s">
        <v>30</v>
      </c>
      <c r="P1" s="67" t="s">
        <v>192</v>
      </c>
      <c r="Q1" s="67" t="s">
        <v>19</v>
      </c>
      <c r="R1" s="77"/>
      <c r="S1" s="78" t="s">
        <v>162</v>
      </c>
    </row>
    <row r="2" spans="1:19" ht="35.25" customHeight="1" thickBot="1" x14ac:dyDescent="0.3">
      <c r="A2" s="68"/>
      <c r="B2" s="2"/>
      <c r="C2" s="2"/>
      <c r="D2" s="39"/>
      <c r="E2" s="2"/>
      <c r="F2" s="84"/>
      <c r="G2" s="8"/>
      <c r="H2" s="6">
        <f t="shared" ref="H2" si="0">B2-E2</f>
        <v>0</v>
      </c>
      <c r="I2" s="80"/>
      <c r="J2" s="63"/>
      <c r="K2" s="79">
        <f t="shared" ref="K2" si="1">(E2-D2)</f>
        <v>0</v>
      </c>
      <c r="L2" s="2"/>
      <c r="M2" s="47"/>
      <c r="N2" s="3"/>
      <c r="O2" s="84"/>
      <c r="P2" s="9"/>
      <c r="Q2" s="16">
        <f t="shared" ref="Q2" si="2">L2-N2</f>
        <v>0</v>
      </c>
      <c r="R2" s="66"/>
      <c r="S2" s="31">
        <f t="shared" ref="S2:S5" si="3">(N2-M2)</f>
        <v>0</v>
      </c>
    </row>
    <row r="3" spans="1:19" ht="35.25" customHeight="1" thickBot="1" x14ac:dyDescent="0.3">
      <c r="A3" s="68"/>
      <c r="B3" s="2"/>
      <c r="C3" s="2"/>
      <c r="D3" s="39"/>
      <c r="E3" s="2"/>
      <c r="F3" s="84"/>
      <c r="G3" s="8"/>
      <c r="H3" s="6">
        <f t="shared" ref="H3:H5" si="4">B3-E3</f>
        <v>0</v>
      </c>
      <c r="I3" s="80"/>
      <c r="J3" s="63"/>
      <c r="K3" s="79">
        <f t="shared" ref="K3:K5" si="5">(E3-D3)</f>
        <v>0</v>
      </c>
      <c r="L3" s="2"/>
      <c r="M3" s="47"/>
      <c r="N3" s="3"/>
      <c r="O3" s="84"/>
      <c r="P3" s="9"/>
      <c r="Q3" s="16">
        <f t="shared" ref="Q3:Q5" si="6">L3-N3</f>
        <v>0</v>
      </c>
      <c r="R3" s="66"/>
      <c r="S3" s="31">
        <f t="shared" si="3"/>
        <v>0</v>
      </c>
    </row>
    <row r="4" spans="1:19" ht="35.25" customHeight="1" thickBot="1" x14ac:dyDescent="0.3">
      <c r="A4" s="68" t="s">
        <v>45</v>
      </c>
      <c r="B4" s="2">
        <v>112</v>
      </c>
      <c r="C4" s="2" t="s">
        <v>262</v>
      </c>
      <c r="D4" s="39"/>
      <c r="E4" s="2"/>
      <c r="F4" s="84"/>
      <c r="G4" s="8"/>
      <c r="H4" s="6">
        <f t="shared" si="4"/>
        <v>112</v>
      </c>
      <c r="I4" s="80"/>
      <c r="J4" s="63"/>
      <c r="K4" s="79">
        <f t="shared" si="5"/>
        <v>0</v>
      </c>
      <c r="L4" s="2">
        <v>6</v>
      </c>
      <c r="M4" s="47"/>
      <c r="N4" s="3"/>
      <c r="O4" s="89" t="s">
        <v>28</v>
      </c>
      <c r="P4" s="9"/>
      <c r="Q4" s="16">
        <f t="shared" si="6"/>
        <v>6</v>
      </c>
      <c r="R4" s="66"/>
      <c r="S4" s="31">
        <f t="shared" si="3"/>
        <v>0</v>
      </c>
    </row>
    <row r="5" spans="1:19" ht="35.25" customHeight="1" thickBot="1" x14ac:dyDescent="0.3">
      <c r="A5" s="68" t="s">
        <v>418</v>
      </c>
      <c r="B5" s="2">
        <v>160</v>
      </c>
      <c r="C5" s="2" t="s">
        <v>417</v>
      </c>
      <c r="D5" s="39"/>
      <c r="E5" s="2">
        <v>160</v>
      </c>
      <c r="F5" s="84"/>
      <c r="G5" s="8">
        <v>160</v>
      </c>
      <c r="H5" s="6">
        <f t="shared" si="4"/>
        <v>0</v>
      </c>
      <c r="I5" s="80"/>
      <c r="J5" s="63"/>
      <c r="K5" s="79">
        <f t="shared" si="5"/>
        <v>160</v>
      </c>
      <c r="L5" s="2">
        <v>27</v>
      </c>
      <c r="M5" s="47"/>
      <c r="N5" s="3">
        <v>27</v>
      </c>
      <c r="O5" s="89" t="s">
        <v>28</v>
      </c>
      <c r="P5" s="9">
        <v>27</v>
      </c>
      <c r="Q5" s="16">
        <f t="shared" si="6"/>
        <v>0</v>
      </c>
      <c r="R5" s="66"/>
      <c r="S5" s="31">
        <f t="shared" si="3"/>
        <v>27</v>
      </c>
    </row>
    <row r="6" spans="1:19" ht="35.25" customHeight="1" thickBot="1" x14ac:dyDescent="0.3">
      <c r="A6" s="82" t="s">
        <v>352</v>
      </c>
      <c r="B6" s="2">
        <v>20</v>
      </c>
      <c r="C6" s="2" t="s">
        <v>353</v>
      </c>
      <c r="D6" s="39">
        <v>20</v>
      </c>
      <c r="E6" s="2">
        <v>20</v>
      </c>
      <c r="F6" s="84"/>
      <c r="G6" s="8"/>
      <c r="H6" s="6">
        <f t="shared" ref="H6:H12" si="7">B6-E6</f>
        <v>0</v>
      </c>
      <c r="I6" s="80"/>
      <c r="J6" s="63"/>
      <c r="K6" s="79">
        <f t="shared" ref="K6:K15" si="8">(E6-D6)</f>
        <v>0</v>
      </c>
      <c r="L6" s="2"/>
      <c r="M6" s="47"/>
      <c r="N6" s="3"/>
      <c r="O6" s="84"/>
      <c r="P6" s="9"/>
      <c r="Q6" s="16">
        <f t="shared" ref="Q6:Q246" si="9">L6-N6</f>
        <v>0</v>
      </c>
      <c r="R6" s="66"/>
      <c r="S6" s="31">
        <f>(N28-M28)</f>
        <v>0</v>
      </c>
    </row>
    <row r="7" spans="1:19" ht="35.25" customHeight="1" thickBot="1" x14ac:dyDescent="0.3">
      <c r="A7" s="82" t="s">
        <v>351</v>
      </c>
      <c r="B7" s="2">
        <v>50</v>
      </c>
      <c r="C7" s="2" t="s">
        <v>353</v>
      </c>
      <c r="D7" s="39">
        <v>16</v>
      </c>
      <c r="E7" s="2">
        <v>16</v>
      </c>
      <c r="F7" s="84"/>
      <c r="G7" s="8"/>
      <c r="H7" s="6">
        <f t="shared" si="7"/>
        <v>34</v>
      </c>
      <c r="I7" s="80"/>
      <c r="J7" s="63"/>
      <c r="K7" s="79">
        <f t="shared" ref="K7:K11" si="10">(E7-D7)</f>
        <v>0</v>
      </c>
      <c r="L7" s="2"/>
      <c r="M7" s="47"/>
      <c r="N7" s="3"/>
      <c r="O7" s="84"/>
      <c r="P7" s="9"/>
      <c r="Q7" s="16">
        <f t="shared" si="9"/>
        <v>0</v>
      </c>
      <c r="R7" s="66"/>
      <c r="S7" s="31">
        <f>(N27-M27)</f>
        <v>0</v>
      </c>
    </row>
    <row r="8" spans="1:19" ht="35.25" customHeight="1" thickBot="1" x14ac:dyDescent="0.3">
      <c r="A8" s="82" t="s">
        <v>350</v>
      </c>
      <c r="B8" s="2">
        <v>20</v>
      </c>
      <c r="C8" s="2" t="s">
        <v>353</v>
      </c>
      <c r="D8" s="39">
        <v>20</v>
      </c>
      <c r="E8" s="2">
        <v>20</v>
      </c>
      <c r="F8" s="84"/>
      <c r="G8" s="8"/>
      <c r="H8" s="6">
        <f t="shared" si="7"/>
        <v>0</v>
      </c>
      <c r="I8" s="80"/>
      <c r="J8" s="63"/>
      <c r="K8" s="79">
        <f t="shared" si="10"/>
        <v>0</v>
      </c>
      <c r="L8" s="2"/>
      <c r="M8" s="47"/>
      <c r="N8" s="3"/>
      <c r="O8" s="84"/>
      <c r="P8" s="9"/>
      <c r="Q8" s="16">
        <f t="shared" si="9"/>
        <v>0</v>
      </c>
      <c r="R8" s="66"/>
      <c r="S8" s="31">
        <f t="shared" ref="S8:S16" si="11">(N6-M6)</f>
        <v>0</v>
      </c>
    </row>
    <row r="9" spans="1:19" ht="35.25" customHeight="1" thickBot="1" x14ac:dyDescent="0.3">
      <c r="A9" s="82" t="s">
        <v>349</v>
      </c>
      <c r="B9" s="2">
        <v>30</v>
      </c>
      <c r="C9" s="2" t="s">
        <v>353</v>
      </c>
      <c r="D9" s="39">
        <v>7</v>
      </c>
      <c r="E9" s="2">
        <v>7</v>
      </c>
      <c r="F9" s="84"/>
      <c r="G9" s="8"/>
      <c r="H9" s="6">
        <f t="shared" si="7"/>
        <v>23</v>
      </c>
      <c r="I9" s="80"/>
      <c r="J9" s="63"/>
      <c r="K9" s="79">
        <f t="shared" si="10"/>
        <v>0</v>
      </c>
      <c r="L9" s="2"/>
      <c r="M9" s="47"/>
      <c r="N9" s="3"/>
      <c r="O9" s="84"/>
      <c r="P9" s="9"/>
      <c r="Q9" s="16">
        <f t="shared" si="9"/>
        <v>0</v>
      </c>
      <c r="R9" s="66"/>
      <c r="S9" s="31">
        <f t="shared" ref="S9:S13" si="12">(N7-M7)</f>
        <v>0</v>
      </c>
    </row>
    <row r="10" spans="1:19" ht="35.25" customHeight="1" thickBot="1" x14ac:dyDescent="0.3">
      <c r="A10" s="82" t="s">
        <v>348</v>
      </c>
      <c r="B10" s="2">
        <v>50</v>
      </c>
      <c r="C10" s="2" t="s">
        <v>353</v>
      </c>
      <c r="D10" s="39">
        <v>16</v>
      </c>
      <c r="E10" s="2">
        <v>16</v>
      </c>
      <c r="F10" s="84"/>
      <c r="G10" s="8"/>
      <c r="H10" s="6">
        <f t="shared" si="7"/>
        <v>34</v>
      </c>
      <c r="I10" s="80">
        <v>100</v>
      </c>
      <c r="J10" s="63"/>
      <c r="K10" s="79">
        <f t="shared" si="10"/>
        <v>0</v>
      </c>
      <c r="L10" s="2"/>
      <c r="M10" s="47"/>
      <c r="N10" s="3"/>
      <c r="O10" s="84"/>
      <c r="P10" s="9"/>
      <c r="Q10" s="16">
        <f t="shared" si="9"/>
        <v>0</v>
      </c>
      <c r="R10" s="66"/>
      <c r="S10" s="31">
        <f t="shared" si="12"/>
        <v>0</v>
      </c>
    </row>
    <row r="11" spans="1:19" ht="35.25" customHeight="1" thickBot="1" x14ac:dyDescent="0.3">
      <c r="A11" s="82" t="s">
        <v>347</v>
      </c>
      <c r="B11" s="2">
        <v>10</v>
      </c>
      <c r="C11" s="2" t="s">
        <v>353</v>
      </c>
      <c r="D11" s="39">
        <v>10</v>
      </c>
      <c r="E11" s="2">
        <v>10</v>
      </c>
      <c r="F11" s="84"/>
      <c r="G11" s="8"/>
      <c r="H11" s="6">
        <f t="shared" si="7"/>
        <v>0</v>
      </c>
      <c r="I11" s="80"/>
      <c r="J11" s="63"/>
      <c r="K11" s="79">
        <f t="shared" si="10"/>
        <v>0</v>
      </c>
      <c r="L11" s="2"/>
      <c r="M11" s="47"/>
      <c r="N11" s="3"/>
      <c r="O11" s="84"/>
      <c r="P11" s="9"/>
      <c r="Q11" s="16">
        <f t="shared" si="9"/>
        <v>0</v>
      </c>
      <c r="R11" s="66"/>
      <c r="S11" s="31">
        <f t="shared" si="12"/>
        <v>0</v>
      </c>
    </row>
    <row r="12" spans="1:19" ht="35.25" customHeight="1" thickBot="1" x14ac:dyDescent="0.3">
      <c r="A12" s="82" t="s">
        <v>346</v>
      </c>
      <c r="B12" s="2">
        <v>50</v>
      </c>
      <c r="C12" s="2" t="s">
        <v>353</v>
      </c>
      <c r="D12" s="39">
        <v>14</v>
      </c>
      <c r="E12" s="2">
        <v>14</v>
      </c>
      <c r="F12" s="84"/>
      <c r="G12" s="8"/>
      <c r="H12" s="6">
        <f t="shared" si="7"/>
        <v>36</v>
      </c>
      <c r="I12" s="80"/>
      <c r="J12" s="63"/>
      <c r="K12" s="79">
        <f t="shared" si="8"/>
        <v>0</v>
      </c>
      <c r="L12" s="2"/>
      <c r="M12" s="47"/>
      <c r="N12" s="3"/>
      <c r="O12" s="84"/>
      <c r="P12" s="9"/>
      <c r="Q12" s="16">
        <f t="shared" si="9"/>
        <v>0</v>
      </c>
      <c r="R12" s="66"/>
      <c r="S12" s="31">
        <f t="shared" si="12"/>
        <v>0</v>
      </c>
    </row>
    <row r="13" spans="1:19" ht="35.25" customHeight="1" thickBot="1" x14ac:dyDescent="0.3">
      <c r="A13" s="82" t="s">
        <v>345</v>
      </c>
      <c r="B13" s="2">
        <v>50</v>
      </c>
      <c r="C13" s="2" t="s">
        <v>353</v>
      </c>
      <c r="D13" s="39">
        <v>14</v>
      </c>
      <c r="E13" s="2">
        <v>14</v>
      </c>
      <c r="F13" s="84"/>
      <c r="G13" s="8"/>
      <c r="H13" s="6">
        <f t="shared" ref="H13:H15" si="13">B13-E13</f>
        <v>36</v>
      </c>
      <c r="I13" s="80"/>
      <c r="J13" s="63"/>
      <c r="K13" s="79">
        <f t="shared" si="8"/>
        <v>0</v>
      </c>
      <c r="L13" s="2"/>
      <c r="M13" s="47"/>
      <c r="N13" s="3"/>
      <c r="O13" s="84"/>
      <c r="P13" s="9"/>
      <c r="Q13" s="16">
        <f t="shared" ref="Q13:Q15" si="14">L13-N13</f>
        <v>0</v>
      </c>
      <c r="R13" s="66"/>
      <c r="S13" s="31">
        <f t="shared" si="12"/>
        <v>0</v>
      </c>
    </row>
    <row r="14" spans="1:19" ht="35.25" customHeight="1" thickBot="1" x14ac:dyDescent="0.3">
      <c r="A14" s="82" t="s">
        <v>344</v>
      </c>
      <c r="B14" s="2">
        <v>50</v>
      </c>
      <c r="C14" s="2" t="s">
        <v>353</v>
      </c>
      <c r="D14" s="39">
        <v>14</v>
      </c>
      <c r="E14" s="2">
        <v>14</v>
      </c>
      <c r="F14" s="84"/>
      <c r="G14" s="8"/>
      <c r="H14" s="6">
        <f t="shared" si="13"/>
        <v>36</v>
      </c>
      <c r="I14" s="80"/>
      <c r="J14" s="63"/>
      <c r="K14" s="79">
        <f t="shared" si="8"/>
        <v>0</v>
      </c>
      <c r="L14" s="2"/>
      <c r="M14" s="47"/>
      <c r="N14" s="3"/>
      <c r="O14" s="84"/>
      <c r="P14" s="9"/>
      <c r="Q14" s="16">
        <f t="shared" si="14"/>
        <v>0</v>
      </c>
      <c r="R14" s="66"/>
      <c r="S14" s="31">
        <f t="shared" si="11"/>
        <v>0</v>
      </c>
    </row>
    <row r="15" spans="1:19" ht="35.25" customHeight="1" thickBot="1" x14ac:dyDescent="0.3">
      <c r="A15" s="82" t="s">
        <v>343</v>
      </c>
      <c r="B15" s="2">
        <v>50</v>
      </c>
      <c r="C15" s="2" t="s">
        <v>353</v>
      </c>
      <c r="D15" s="39">
        <v>14</v>
      </c>
      <c r="E15" s="2">
        <v>14</v>
      </c>
      <c r="F15" s="84"/>
      <c r="G15" s="8"/>
      <c r="H15" s="6">
        <f t="shared" si="13"/>
        <v>36</v>
      </c>
      <c r="I15" s="80"/>
      <c r="J15" s="63"/>
      <c r="K15" s="79">
        <f t="shared" si="8"/>
        <v>0</v>
      </c>
      <c r="L15" s="2"/>
      <c r="M15" s="47"/>
      <c r="N15" s="3"/>
      <c r="O15" s="84"/>
      <c r="P15" s="9"/>
      <c r="Q15" s="16">
        <f t="shared" si="14"/>
        <v>0</v>
      </c>
      <c r="R15" s="66"/>
      <c r="S15" s="31">
        <f t="shared" si="11"/>
        <v>0</v>
      </c>
    </row>
    <row r="16" spans="1:19" ht="35.25" customHeight="1" thickBot="1" x14ac:dyDescent="0.3">
      <c r="A16" s="82" t="s">
        <v>342</v>
      </c>
      <c r="B16" s="2">
        <v>10</v>
      </c>
      <c r="C16" s="2" t="s">
        <v>353</v>
      </c>
      <c r="D16" s="39">
        <v>10</v>
      </c>
      <c r="E16" s="2">
        <v>10</v>
      </c>
      <c r="F16" s="84"/>
      <c r="G16" s="8"/>
      <c r="H16" s="6">
        <f t="shared" ref="H16:H264" si="15">B16-E16</f>
        <v>0</v>
      </c>
      <c r="I16" s="80"/>
      <c r="J16" s="63"/>
      <c r="K16" s="79">
        <f t="shared" ref="K16:K264" si="16">(E16-D16)</f>
        <v>0</v>
      </c>
      <c r="L16" s="2"/>
      <c r="M16" s="47"/>
      <c r="N16" s="3"/>
      <c r="O16" s="84"/>
      <c r="P16" s="9"/>
      <c r="Q16" s="16">
        <f t="shared" si="9"/>
        <v>0</v>
      </c>
      <c r="R16" s="66"/>
      <c r="S16" s="31">
        <f t="shared" si="11"/>
        <v>0</v>
      </c>
    </row>
    <row r="17" spans="1:19" ht="35.25" customHeight="1" thickBot="1" x14ac:dyDescent="0.3">
      <c r="A17" s="68" t="s">
        <v>169</v>
      </c>
      <c r="B17" s="2">
        <v>3101</v>
      </c>
      <c r="C17" s="2" t="s">
        <v>164</v>
      </c>
      <c r="D17" s="39">
        <v>2584</v>
      </c>
      <c r="E17" s="2">
        <v>2584</v>
      </c>
      <c r="F17" s="84"/>
      <c r="G17" s="8"/>
      <c r="H17" s="6">
        <f t="shared" ref="H17:H86" si="17">B17-E17</f>
        <v>517</v>
      </c>
      <c r="I17" s="80"/>
      <c r="J17" s="63"/>
      <c r="K17" s="79">
        <f t="shared" ref="K17:K86" si="18">(E17-D17)</f>
        <v>0</v>
      </c>
      <c r="L17" s="2"/>
      <c r="M17" s="47"/>
      <c r="N17" s="3"/>
      <c r="O17" s="84"/>
      <c r="P17" s="9" t="s">
        <v>26</v>
      </c>
      <c r="Q17" s="16">
        <f t="shared" ref="Q17:Q86" si="19">L17-N17</f>
        <v>0</v>
      </c>
      <c r="R17" s="66"/>
      <c r="S17" s="31">
        <f>(N15-M15)</f>
        <v>0</v>
      </c>
    </row>
    <row r="18" spans="1:19" ht="35.25" customHeight="1" thickBot="1" x14ac:dyDescent="0.3">
      <c r="A18" s="69" t="s">
        <v>416</v>
      </c>
      <c r="B18" s="11">
        <v>100</v>
      </c>
      <c r="C18" s="11" t="s">
        <v>417</v>
      </c>
      <c r="D18" s="41"/>
      <c r="E18" s="11"/>
      <c r="F18" s="85"/>
      <c r="G18" s="12">
        <v>100</v>
      </c>
      <c r="H18" s="29">
        <f>B18-E18</f>
        <v>100</v>
      </c>
      <c r="I18" s="81"/>
      <c r="J18" s="57"/>
      <c r="K18" s="79">
        <f>(E18-D18)</f>
        <v>0</v>
      </c>
      <c r="L18" s="11"/>
      <c r="M18" s="49"/>
      <c r="N18" s="13"/>
      <c r="O18" s="85"/>
      <c r="P18" s="14"/>
      <c r="Q18" s="17">
        <f>L18-N18</f>
        <v>0</v>
      </c>
      <c r="R18" s="59"/>
      <c r="S18" s="31">
        <f>(N18-M18)</f>
        <v>0</v>
      </c>
    </row>
    <row r="19" spans="1:19" ht="35.25" customHeight="1" thickBot="1" x14ac:dyDescent="0.3">
      <c r="A19" s="69" t="s">
        <v>414</v>
      </c>
      <c r="B19" s="11">
        <v>464</v>
      </c>
      <c r="C19" s="11" t="s">
        <v>415</v>
      </c>
      <c r="D19" s="41">
        <v>464</v>
      </c>
      <c r="E19" s="11">
        <v>464</v>
      </c>
      <c r="F19" s="85"/>
      <c r="G19" s="12"/>
      <c r="H19" s="29">
        <f>B19-E19</f>
        <v>0</v>
      </c>
      <c r="I19" s="81"/>
      <c r="J19" s="57"/>
      <c r="K19" s="79">
        <v>0</v>
      </c>
      <c r="L19" s="11"/>
      <c r="M19" s="49"/>
      <c r="N19" s="13"/>
      <c r="O19" s="85"/>
      <c r="P19" s="14"/>
      <c r="Q19" s="17">
        <f>L19-N19</f>
        <v>0</v>
      </c>
      <c r="R19" s="59"/>
      <c r="S19" s="31">
        <f>(N19-M19)</f>
        <v>0</v>
      </c>
    </row>
    <row r="20" spans="1:19" ht="35.25" customHeight="1" thickBot="1" x14ac:dyDescent="0.3">
      <c r="A20" s="69" t="s">
        <v>227</v>
      </c>
      <c r="B20" s="11">
        <v>120</v>
      </c>
      <c r="C20" s="11" t="s">
        <v>412</v>
      </c>
      <c r="D20" s="41">
        <v>120</v>
      </c>
      <c r="E20" s="11">
        <v>120</v>
      </c>
      <c r="F20" s="85"/>
      <c r="G20" s="12"/>
      <c r="H20" s="29">
        <v>0</v>
      </c>
      <c r="I20" s="81"/>
      <c r="J20" s="57"/>
      <c r="K20" s="79">
        <v>0</v>
      </c>
      <c r="L20" s="11"/>
      <c r="M20" s="49"/>
      <c r="N20" s="13"/>
      <c r="O20" s="85"/>
      <c r="P20" s="14"/>
      <c r="Q20" s="17">
        <f>L20-N20</f>
        <v>0</v>
      </c>
      <c r="R20" s="59"/>
      <c r="S20" s="31">
        <f t="shared" ref="S20" si="20">(N20-M20)</f>
        <v>0</v>
      </c>
    </row>
    <row r="21" spans="1:19" ht="35.25" customHeight="1" thickBot="1" x14ac:dyDescent="0.3">
      <c r="A21" s="69" t="s">
        <v>413</v>
      </c>
      <c r="B21" s="11"/>
      <c r="C21" s="11" t="s">
        <v>412</v>
      </c>
      <c r="D21" s="41"/>
      <c r="E21" s="11"/>
      <c r="F21" s="85"/>
      <c r="G21" s="12"/>
      <c r="H21" s="29"/>
      <c r="I21" s="81"/>
      <c r="J21" s="57"/>
      <c r="K21" s="79">
        <f>(E21-D21)</f>
        <v>0</v>
      </c>
      <c r="L21" s="11">
        <v>20</v>
      </c>
      <c r="M21" s="49">
        <v>20</v>
      </c>
      <c r="N21" s="13">
        <v>20</v>
      </c>
      <c r="O21" s="85" t="s">
        <v>28</v>
      </c>
      <c r="P21" s="14"/>
      <c r="Q21" s="17">
        <f>L21-N21</f>
        <v>0</v>
      </c>
      <c r="R21" s="59"/>
      <c r="S21" s="31">
        <f t="shared" ref="S21:S26" si="21">(N21-M21)</f>
        <v>0</v>
      </c>
    </row>
    <row r="22" spans="1:19" ht="35.25" customHeight="1" thickBot="1" x14ac:dyDescent="0.3">
      <c r="A22" s="69" t="s">
        <v>340</v>
      </c>
      <c r="B22" s="11">
        <v>101</v>
      </c>
      <c r="C22" s="11" t="s">
        <v>412</v>
      </c>
      <c r="D22" s="41">
        <v>101</v>
      </c>
      <c r="E22" s="11">
        <v>100</v>
      </c>
      <c r="F22" s="85"/>
      <c r="G22" s="12"/>
      <c r="H22" s="29">
        <v>0</v>
      </c>
      <c r="I22" s="81"/>
      <c r="J22" s="57"/>
      <c r="K22" s="79">
        <v>0</v>
      </c>
      <c r="L22" s="11">
        <v>500</v>
      </c>
      <c r="M22" s="49">
        <v>500</v>
      </c>
      <c r="N22" s="13">
        <v>500</v>
      </c>
      <c r="O22" s="85" t="s">
        <v>3</v>
      </c>
      <c r="P22" s="14"/>
      <c r="Q22" s="17">
        <f>L22-N22</f>
        <v>0</v>
      </c>
      <c r="R22" s="59"/>
      <c r="S22" s="31">
        <f t="shared" si="21"/>
        <v>0</v>
      </c>
    </row>
    <row r="23" spans="1:19" ht="35.25" customHeight="1" thickBot="1" x14ac:dyDescent="0.3">
      <c r="A23" s="69" t="s">
        <v>401</v>
      </c>
      <c r="B23" s="11">
        <v>40</v>
      </c>
      <c r="C23" s="11" t="s">
        <v>411</v>
      </c>
      <c r="D23" s="41">
        <v>40</v>
      </c>
      <c r="E23" s="11">
        <v>40</v>
      </c>
      <c r="F23" s="85"/>
      <c r="G23" s="12"/>
      <c r="H23" s="29">
        <f>B23-E23</f>
        <v>0</v>
      </c>
      <c r="I23" s="81"/>
      <c r="J23" s="57"/>
      <c r="K23" s="79">
        <f>(E23-D23)</f>
        <v>0</v>
      </c>
      <c r="L23" s="11"/>
      <c r="M23" s="49"/>
      <c r="N23" s="13"/>
      <c r="O23" s="85"/>
      <c r="P23" s="14"/>
      <c r="Q23" s="17">
        <f>L23-N23</f>
        <v>0</v>
      </c>
      <c r="R23" s="59"/>
      <c r="S23" s="31">
        <f t="shared" si="21"/>
        <v>0</v>
      </c>
    </row>
    <row r="24" spans="1:19" ht="35.25" customHeight="1" thickBot="1" x14ac:dyDescent="0.3">
      <c r="A24" s="69" t="s">
        <v>409</v>
      </c>
      <c r="B24" s="11">
        <v>30</v>
      </c>
      <c r="C24" s="11" t="s">
        <v>410</v>
      </c>
      <c r="D24" s="41">
        <v>30</v>
      </c>
      <c r="E24" s="11">
        <v>30</v>
      </c>
      <c r="F24" s="85"/>
      <c r="G24" s="12"/>
      <c r="H24" s="29">
        <f>B24-E24</f>
        <v>0</v>
      </c>
      <c r="I24" s="81"/>
      <c r="J24" s="57"/>
      <c r="K24" s="79">
        <f>(E24-D24)</f>
        <v>0</v>
      </c>
      <c r="L24" s="11">
        <v>10</v>
      </c>
      <c r="M24" s="49">
        <v>10</v>
      </c>
      <c r="N24" s="13">
        <v>10</v>
      </c>
      <c r="O24" s="85" t="s">
        <v>28</v>
      </c>
      <c r="P24" s="14"/>
      <c r="Q24" s="17">
        <v>0</v>
      </c>
      <c r="R24" s="59"/>
      <c r="S24" s="31">
        <f t="shared" si="21"/>
        <v>0</v>
      </c>
    </row>
    <row r="25" spans="1:19" ht="35.25" customHeight="1" thickBot="1" x14ac:dyDescent="0.3">
      <c r="A25" s="69" t="s">
        <v>4</v>
      </c>
      <c r="B25" s="11">
        <v>198</v>
      </c>
      <c r="C25" s="11" t="s">
        <v>408</v>
      </c>
      <c r="D25" s="41">
        <v>198</v>
      </c>
      <c r="E25" s="11">
        <v>198</v>
      </c>
      <c r="F25" s="85"/>
      <c r="G25" s="12"/>
      <c r="H25" s="29">
        <f>B25-E25</f>
        <v>0</v>
      </c>
      <c r="I25" s="81"/>
      <c r="J25" s="57"/>
      <c r="K25" s="79">
        <f>(E25-D25)</f>
        <v>0</v>
      </c>
      <c r="L25" s="11"/>
      <c r="M25" s="49"/>
      <c r="N25" s="13"/>
      <c r="O25" s="85"/>
      <c r="P25" s="14"/>
      <c r="Q25" s="17">
        <f>L25-N25</f>
        <v>0</v>
      </c>
      <c r="R25" s="59"/>
      <c r="S25" s="31">
        <f t="shared" si="21"/>
        <v>0</v>
      </c>
    </row>
    <row r="26" spans="1:19" ht="35.25" customHeight="1" thickBot="1" x14ac:dyDescent="0.3">
      <c r="A26" s="69" t="s">
        <v>382</v>
      </c>
      <c r="B26" s="11">
        <v>190</v>
      </c>
      <c r="C26" s="11" t="s">
        <v>407</v>
      </c>
      <c r="D26" s="41">
        <v>190</v>
      </c>
      <c r="E26" s="11">
        <v>190</v>
      </c>
      <c r="F26" s="85"/>
      <c r="G26" s="12"/>
      <c r="H26" s="29">
        <f>B26-E26</f>
        <v>0</v>
      </c>
      <c r="I26" s="81"/>
      <c r="J26" s="57"/>
      <c r="K26" s="79">
        <f>(E26-D26)</f>
        <v>0</v>
      </c>
      <c r="L26" s="11"/>
      <c r="M26" s="49"/>
      <c r="N26" s="13"/>
      <c r="O26" s="85"/>
      <c r="P26" s="14"/>
      <c r="Q26" s="17">
        <f>L26-N26</f>
        <v>0</v>
      </c>
      <c r="R26" s="59"/>
      <c r="S26" s="31">
        <f t="shared" si="21"/>
        <v>0</v>
      </c>
    </row>
    <row r="27" spans="1:19" ht="35.25" customHeight="1" thickBot="1" x14ac:dyDescent="0.3">
      <c r="A27" s="69" t="s">
        <v>401</v>
      </c>
      <c r="B27" s="11">
        <v>440</v>
      </c>
      <c r="C27" s="11" t="s">
        <v>402</v>
      </c>
      <c r="D27" s="41">
        <v>440</v>
      </c>
      <c r="E27" s="11">
        <v>440</v>
      </c>
      <c r="F27" s="85"/>
      <c r="G27" s="12"/>
      <c r="H27" s="29"/>
      <c r="I27" s="81"/>
      <c r="J27" s="57"/>
      <c r="K27" s="79">
        <f t="shared" ref="K27" si="22">(E27-D27)</f>
        <v>0</v>
      </c>
      <c r="L27" s="11">
        <v>21</v>
      </c>
      <c r="M27" s="49">
        <v>21</v>
      </c>
      <c r="N27" s="13">
        <v>21</v>
      </c>
      <c r="O27" s="85" t="s">
        <v>28</v>
      </c>
      <c r="P27" s="14"/>
      <c r="Q27" s="17">
        <f>L27-N27</f>
        <v>0</v>
      </c>
      <c r="R27" s="59"/>
      <c r="S27" s="31">
        <f>(N29-M29)</f>
        <v>0</v>
      </c>
    </row>
    <row r="28" spans="1:19" ht="35.25" customHeight="1" thickBot="1" x14ac:dyDescent="0.3">
      <c r="A28" s="69" t="s">
        <v>403</v>
      </c>
      <c r="B28" s="11">
        <v>329</v>
      </c>
      <c r="C28" s="11" t="s">
        <v>406</v>
      </c>
      <c r="D28" s="41">
        <v>329</v>
      </c>
      <c r="E28" s="11">
        <v>329</v>
      </c>
      <c r="F28" s="85"/>
      <c r="G28" s="12"/>
      <c r="H28" s="29">
        <f>B28-E28</f>
        <v>0</v>
      </c>
      <c r="I28" s="81"/>
      <c r="J28" s="57"/>
      <c r="K28" s="79">
        <f>(E28-D28)</f>
        <v>0</v>
      </c>
      <c r="L28" s="11">
        <v>21</v>
      </c>
      <c r="M28" s="49">
        <v>21</v>
      </c>
      <c r="N28" s="13">
        <v>21</v>
      </c>
      <c r="O28" s="85" t="s">
        <v>28</v>
      </c>
      <c r="P28" s="14"/>
      <c r="Q28" s="17">
        <f t="shared" ref="Q28:Q34" si="23">L28-N28</f>
        <v>0</v>
      </c>
      <c r="R28" s="59"/>
      <c r="S28" s="31">
        <f>(N16-M16)</f>
        <v>0</v>
      </c>
    </row>
    <row r="29" spans="1:19" ht="42" customHeight="1" thickBot="1" x14ac:dyDescent="0.3">
      <c r="A29" s="69" t="s">
        <v>403</v>
      </c>
      <c r="B29" s="11">
        <v>0</v>
      </c>
      <c r="C29" s="11"/>
      <c r="D29" s="41"/>
      <c r="E29" s="11"/>
      <c r="F29" s="85"/>
      <c r="G29" s="12"/>
      <c r="H29" s="29">
        <f>B29-E29</f>
        <v>0</v>
      </c>
      <c r="I29" s="81"/>
      <c r="J29" s="57"/>
      <c r="K29" s="79">
        <f>(E29-D29)</f>
        <v>0</v>
      </c>
      <c r="L29" s="11">
        <v>50</v>
      </c>
      <c r="M29" s="49">
        <v>50</v>
      </c>
      <c r="N29" s="13">
        <v>50</v>
      </c>
      <c r="O29" s="85" t="s">
        <v>39</v>
      </c>
      <c r="P29" s="14"/>
      <c r="Q29" s="17">
        <f t="shared" si="23"/>
        <v>0</v>
      </c>
      <c r="R29" s="59"/>
      <c r="S29" s="31">
        <f t="shared" ref="S29" si="24">(N17-M17)</f>
        <v>0</v>
      </c>
    </row>
    <row r="30" spans="1:19" ht="35.25" customHeight="1" thickBot="1" x14ac:dyDescent="0.3">
      <c r="A30" s="69" t="s">
        <v>404</v>
      </c>
      <c r="B30" s="11">
        <v>22</v>
      </c>
      <c r="C30" s="11" t="s">
        <v>405</v>
      </c>
      <c r="D30" s="41">
        <v>22</v>
      </c>
      <c r="E30" s="11">
        <v>22</v>
      </c>
      <c r="F30" s="85"/>
      <c r="G30" s="12"/>
      <c r="H30" s="29">
        <f>B30-E30</f>
        <v>0</v>
      </c>
      <c r="I30" s="81"/>
      <c r="J30" s="57"/>
      <c r="K30" s="79">
        <f>(E30-D30)</f>
        <v>0</v>
      </c>
      <c r="L30" s="11">
        <v>16</v>
      </c>
      <c r="M30" s="49">
        <v>16</v>
      </c>
      <c r="N30" s="13">
        <v>16</v>
      </c>
      <c r="O30" s="85" t="s">
        <v>3</v>
      </c>
      <c r="P30" s="14"/>
      <c r="Q30" s="17">
        <f t="shared" si="23"/>
        <v>0</v>
      </c>
      <c r="R30" s="59"/>
      <c r="S30" s="31">
        <f>(N30-M30)</f>
        <v>0</v>
      </c>
    </row>
    <row r="31" spans="1:19" ht="35.25" customHeight="1" thickBot="1" x14ac:dyDescent="0.3">
      <c r="A31" s="69" t="s">
        <v>51</v>
      </c>
      <c r="B31" s="11">
        <v>100</v>
      </c>
      <c r="C31" s="11" t="s">
        <v>400</v>
      </c>
      <c r="D31" s="41">
        <v>103</v>
      </c>
      <c r="E31" s="11"/>
      <c r="F31" s="85"/>
      <c r="G31" s="12"/>
      <c r="H31" s="29">
        <v>0</v>
      </c>
      <c r="I31" s="81"/>
      <c r="J31" s="57"/>
      <c r="K31" s="79">
        <v>0</v>
      </c>
      <c r="L31" s="11"/>
      <c r="M31" s="49"/>
      <c r="N31" s="13"/>
      <c r="O31" s="85"/>
      <c r="P31" s="14"/>
      <c r="Q31" s="17">
        <f t="shared" si="23"/>
        <v>0</v>
      </c>
      <c r="R31" s="59"/>
      <c r="S31" s="31">
        <f>(N31-M31)</f>
        <v>0</v>
      </c>
    </row>
    <row r="32" spans="1:19" ht="35.25" customHeight="1" thickBot="1" x14ac:dyDescent="0.3">
      <c r="A32" s="69" t="s">
        <v>227</v>
      </c>
      <c r="B32" s="11">
        <v>230</v>
      </c>
      <c r="C32" s="11" t="s">
        <v>398</v>
      </c>
      <c r="D32" s="41">
        <v>230</v>
      </c>
      <c r="E32" s="11">
        <v>230</v>
      </c>
      <c r="F32" s="85"/>
      <c r="G32" s="12"/>
      <c r="H32" s="29">
        <f>B32-E32</f>
        <v>0</v>
      </c>
      <c r="I32" s="81"/>
      <c r="J32" s="57"/>
      <c r="K32" s="79">
        <f>(E32-D32)</f>
        <v>0</v>
      </c>
      <c r="L32" s="11"/>
      <c r="M32" s="49"/>
      <c r="N32" s="13"/>
      <c r="O32" s="85"/>
      <c r="P32" s="14"/>
      <c r="Q32" s="17">
        <f t="shared" si="23"/>
        <v>0</v>
      </c>
      <c r="R32" s="59"/>
      <c r="S32" s="31">
        <f>(N32-M32)</f>
        <v>0</v>
      </c>
    </row>
    <row r="33" spans="1:19" ht="35.25" customHeight="1" thickBot="1" x14ac:dyDescent="0.3">
      <c r="A33" s="69" t="s">
        <v>225</v>
      </c>
      <c r="B33" s="11">
        <v>330</v>
      </c>
      <c r="C33" s="11" t="s">
        <v>399</v>
      </c>
      <c r="D33" s="41">
        <v>330</v>
      </c>
      <c r="E33" s="11">
        <v>330</v>
      </c>
      <c r="F33" s="85"/>
      <c r="G33" s="12"/>
      <c r="H33" s="29">
        <f>B33-E33</f>
        <v>0</v>
      </c>
      <c r="I33" s="81"/>
      <c r="J33" s="57"/>
      <c r="K33" s="79">
        <v>0</v>
      </c>
      <c r="L33" s="11"/>
      <c r="M33" s="49"/>
      <c r="N33" s="13"/>
      <c r="O33" s="85"/>
      <c r="P33" s="14"/>
      <c r="Q33" s="17">
        <f t="shared" si="23"/>
        <v>0</v>
      </c>
      <c r="R33" s="59"/>
      <c r="S33" s="31">
        <f>(N33-M33)</f>
        <v>0</v>
      </c>
    </row>
    <row r="34" spans="1:19" ht="35.25" customHeight="1" thickBot="1" x14ac:dyDescent="0.3">
      <c r="A34" s="69" t="s">
        <v>396</v>
      </c>
      <c r="B34" s="11">
        <v>591</v>
      </c>
      <c r="C34" s="11" t="s">
        <v>397</v>
      </c>
      <c r="D34" s="41">
        <v>591</v>
      </c>
      <c r="E34" s="11">
        <v>591</v>
      </c>
      <c r="F34" s="85"/>
      <c r="G34" s="12"/>
      <c r="H34" s="29">
        <f>B34-E34</f>
        <v>0</v>
      </c>
      <c r="I34" s="81"/>
      <c r="J34" s="57"/>
      <c r="K34" s="79">
        <f>(E34-D34)</f>
        <v>0</v>
      </c>
      <c r="L34" s="11"/>
      <c r="M34" s="49"/>
      <c r="N34" s="13"/>
      <c r="O34" s="85"/>
      <c r="P34" s="14"/>
      <c r="Q34" s="17">
        <f t="shared" si="23"/>
        <v>0</v>
      </c>
      <c r="R34" s="59"/>
      <c r="S34" s="31">
        <f>(N34-M34)</f>
        <v>0</v>
      </c>
    </row>
    <row r="35" spans="1:19" ht="35.25" customHeight="1" thickBot="1" x14ac:dyDescent="0.3">
      <c r="A35" s="69" t="s">
        <v>390</v>
      </c>
      <c r="B35" s="11">
        <v>100</v>
      </c>
      <c r="C35" s="11" t="s">
        <v>391</v>
      </c>
      <c r="D35" s="41">
        <v>100</v>
      </c>
      <c r="E35" s="11">
        <v>100</v>
      </c>
      <c r="F35" s="85"/>
      <c r="G35" s="12"/>
      <c r="H35" s="29">
        <f t="shared" ref="H35:H45" si="25">B35-E35</f>
        <v>0</v>
      </c>
      <c r="I35" s="81"/>
      <c r="J35" s="57"/>
      <c r="K35" s="79">
        <f t="shared" ref="K35:K45" si="26">(E35-D35)</f>
        <v>0</v>
      </c>
      <c r="L35" s="11"/>
      <c r="M35" s="49"/>
      <c r="N35" s="13"/>
      <c r="O35" s="85"/>
      <c r="P35" s="14"/>
      <c r="Q35" s="17">
        <f t="shared" ref="Q35:Q44" si="27">L35-N35</f>
        <v>0</v>
      </c>
      <c r="R35" s="59"/>
      <c r="S35" s="31">
        <f t="shared" ref="S35:S45" si="28">(N35-M35)</f>
        <v>0</v>
      </c>
    </row>
    <row r="36" spans="1:19" ht="35.25" customHeight="1" thickBot="1" x14ac:dyDescent="0.3">
      <c r="A36" s="69" t="s">
        <v>227</v>
      </c>
      <c r="B36" s="11">
        <v>200</v>
      </c>
      <c r="C36" s="11" t="s">
        <v>209</v>
      </c>
      <c r="D36" s="41">
        <v>200</v>
      </c>
      <c r="E36" s="11">
        <v>200</v>
      </c>
      <c r="F36" s="85"/>
      <c r="G36" s="12"/>
      <c r="H36" s="29">
        <f t="shared" si="25"/>
        <v>0</v>
      </c>
      <c r="I36" s="81"/>
      <c r="J36" s="57"/>
      <c r="K36" s="79">
        <f t="shared" si="26"/>
        <v>0</v>
      </c>
      <c r="L36" s="11"/>
      <c r="M36" s="49"/>
      <c r="N36" s="13"/>
      <c r="O36" s="85"/>
      <c r="P36" s="14"/>
      <c r="Q36" s="17">
        <f t="shared" si="27"/>
        <v>0</v>
      </c>
      <c r="R36" s="59"/>
      <c r="S36" s="31">
        <f t="shared" si="28"/>
        <v>0</v>
      </c>
    </row>
    <row r="37" spans="1:19" ht="35.25" customHeight="1" thickBot="1" x14ac:dyDescent="0.3">
      <c r="A37" s="69" t="s">
        <v>359</v>
      </c>
      <c r="B37" s="11">
        <v>20</v>
      </c>
      <c r="C37" s="11" t="s">
        <v>397</v>
      </c>
      <c r="D37" s="41">
        <v>20</v>
      </c>
      <c r="E37" s="11">
        <v>20</v>
      </c>
      <c r="F37" s="85"/>
      <c r="G37" s="12"/>
      <c r="H37" s="29">
        <f t="shared" si="25"/>
        <v>0</v>
      </c>
      <c r="I37" s="81"/>
      <c r="J37" s="57"/>
      <c r="K37" s="79">
        <f t="shared" si="26"/>
        <v>0</v>
      </c>
      <c r="L37" s="11"/>
      <c r="M37" s="49"/>
      <c r="N37" s="13"/>
      <c r="O37" s="85"/>
      <c r="P37" s="14"/>
      <c r="Q37" s="17">
        <f t="shared" si="27"/>
        <v>0</v>
      </c>
      <c r="R37" s="59"/>
      <c r="S37" s="31">
        <f t="shared" si="28"/>
        <v>0</v>
      </c>
    </row>
    <row r="38" spans="1:19" ht="35.25" customHeight="1" thickBot="1" x14ac:dyDescent="0.3">
      <c r="A38" s="69" t="s">
        <v>360</v>
      </c>
      <c r="B38" s="11">
        <v>121</v>
      </c>
      <c r="C38" s="11" t="s">
        <v>397</v>
      </c>
      <c r="D38" s="41">
        <v>122</v>
      </c>
      <c r="E38" s="11">
        <v>122</v>
      </c>
      <c r="F38" s="85"/>
      <c r="G38" s="12"/>
      <c r="H38" s="29">
        <v>0</v>
      </c>
      <c r="I38" s="81"/>
      <c r="J38" s="57"/>
      <c r="K38" s="79">
        <f t="shared" si="26"/>
        <v>0</v>
      </c>
      <c r="L38" s="11"/>
      <c r="M38" s="49"/>
      <c r="N38" s="13"/>
      <c r="O38" s="85"/>
      <c r="P38" s="14"/>
      <c r="Q38" s="17">
        <f t="shared" si="27"/>
        <v>0</v>
      </c>
      <c r="R38" s="59"/>
      <c r="S38" s="31">
        <f t="shared" si="28"/>
        <v>0</v>
      </c>
    </row>
    <row r="39" spans="1:19" ht="35.25" customHeight="1" thickBot="1" x14ac:dyDescent="0.3">
      <c r="A39" s="69" t="s">
        <v>178</v>
      </c>
      <c r="B39" s="11">
        <v>1000</v>
      </c>
      <c r="C39" s="11" t="s">
        <v>397</v>
      </c>
      <c r="D39" s="41">
        <v>1000</v>
      </c>
      <c r="E39" s="11">
        <v>1000</v>
      </c>
      <c r="F39" s="85"/>
      <c r="G39" s="12"/>
      <c r="H39" s="29">
        <f t="shared" si="25"/>
        <v>0</v>
      </c>
      <c r="I39" s="81"/>
      <c r="J39" s="57"/>
      <c r="K39" s="79">
        <f t="shared" si="26"/>
        <v>0</v>
      </c>
      <c r="L39" s="11"/>
      <c r="M39" s="49"/>
      <c r="N39" s="13"/>
      <c r="O39" s="85"/>
      <c r="P39" s="14"/>
      <c r="Q39" s="17">
        <f t="shared" si="27"/>
        <v>0</v>
      </c>
      <c r="R39" s="59"/>
      <c r="S39" s="31">
        <f t="shared" si="28"/>
        <v>0</v>
      </c>
    </row>
    <row r="40" spans="1:19" ht="35.25" customHeight="1" thickBot="1" x14ac:dyDescent="0.3">
      <c r="A40" s="69" t="s">
        <v>163</v>
      </c>
      <c r="B40" s="11">
        <v>48</v>
      </c>
      <c r="C40" s="11" t="s">
        <v>397</v>
      </c>
      <c r="D40" s="41">
        <v>48</v>
      </c>
      <c r="E40" s="11">
        <v>48</v>
      </c>
      <c r="F40" s="85"/>
      <c r="G40" s="12"/>
      <c r="H40" s="29">
        <f t="shared" si="25"/>
        <v>0</v>
      </c>
      <c r="I40" s="81"/>
      <c r="J40" s="57"/>
      <c r="K40" s="79">
        <f t="shared" si="26"/>
        <v>0</v>
      </c>
      <c r="L40" s="11"/>
      <c r="M40" s="49"/>
      <c r="N40" s="13"/>
      <c r="O40" s="85"/>
      <c r="P40" s="14"/>
      <c r="Q40" s="17">
        <f t="shared" si="27"/>
        <v>0</v>
      </c>
      <c r="R40" s="59"/>
      <c r="S40" s="31">
        <f t="shared" si="28"/>
        <v>0</v>
      </c>
    </row>
    <row r="41" spans="1:19" ht="35.25" customHeight="1" thickBot="1" x14ac:dyDescent="0.3">
      <c r="A41" s="69" t="s">
        <v>260</v>
      </c>
      <c r="B41" s="11">
        <v>100</v>
      </c>
      <c r="C41" s="11" t="s">
        <v>395</v>
      </c>
      <c r="D41" s="41">
        <v>100</v>
      </c>
      <c r="E41" s="11">
        <v>100</v>
      </c>
      <c r="F41" s="85"/>
      <c r="G41" s="12"/>
      <c r="H41" s="29">
        <f t="shared" si="25"/>
        <v>0</v>
      </c>
      <c r="I41" s="81"/>
      <c r="J41" s="57"/>
      <c r="K41" s="79">
        <f t="shared" si="26"/>
        <v>0</v>
      </c>
      <c r="L41" s="11"/>
      <c r="M41" s="49"/>
      <c r="N41" s="13"/>
      <c r="O41" s="85"/>
      <c r="P41" s="14"/>
      <c r="Q41" s="17">
        <f t="shared" si="27"/>
        <v>0</v>
      </c>
      <c r="R41" s="59"/>
      <c r="S41" s="31">
        <f t="shared" si="28"/>
        <v>0</v>
      </c>
    </row>
    <row r="42" spans="1:19" ht="35.25" customHeight="1" thickBot="1" x14ac:dyDescent="0.3">
      <c r="A42" s="69" t="s">
        <v>81</v>
      </c>
      <c r="B42" s="11"/>
      <c r="C42" s="11" t="s">
        <v>394</v>
      </c>
      <c r="D42" s="41"/>
      <c r="E42" s="11"/>
      <c r="F42" s="85"/>
      <c r="G42" s="12"/>
      <c r="H42" s="29">
        <f t="shared" si="25"/>
        <v>0</v>
      </c>
      <c r="I42" s="81"/>
      <c r="J42" s="57"/>
      <c r="K42" s="79">
        <f t="shared" si="26"/>
        <v>0</v>
      </c>
      <c r="L42" s="11">
        <v>24</v>
      </c>
      <c r="M42" s="49">
        <v>24</v>
      </c>
      <c r="N42" s="13">
        <v>24</v>
      </c>
      <c r="O42" s="85"/>
      <c r="P42" s="14"/>
      <c r="Q42" s="17">
        <f t="shared" si="27"/>
        <v>0</v>
      </c>
      <c r="R42" s="59"/>
      <c r="S42" s="31">
        <f t="shared" si="28"/>
        <v>0</v>
      </c>
    </row>
    <row r="43" spans="1:19" ht="35.25" customHeight="1" thickBot="1" x14ac:dyDescent="0.3">
      <c r="A43" s="69" t="s">
        <v>392</v>
      </c>
      <c r="B43" s="11"/>
      <c r="C43" s="11" t="s">
        <v>393</v>
      </c>
      <c r="D43" s="41"/>
      <c r="E43" s="11"/>
      <c r="F43" s="85"/>
      <c r="G43" s="12"/>
      <c r="H43" s="29">
        <f t="shared" si="25"/>
        <v>0</v>
      </c>
      <c r="I43" s="81"/>
      <c r="J43" s="57"/>
      <c r="K43" s="79">
        <f t="shared" si="26"/>
        <v>0</v>
      </c>
      <c r="L43" s="11">
        <v>21</v>
      </c>
      <c r="M43" s="49">
        <v>21</v>
      </c>
      <c r="N43" s="13">
        <v>21</v>
      </c>
      <c r="O43" s="85"/>
      <c r="P43" s="14"/>
      <c r="Q43" s="17">
        <f t="shared" si="27"/>
        <v>0</v>
      </c>
      <c r="R43" s="59"/>
      <c r="S43" s="31">
        <f t="shared" si="28"/>
        <v>0</v>
      </c>
    </row>
    <row r="44" spans="1:19" ht="35.25" customHeight="1" thickBot="1" x14ac:dyDescent="0.3">
      <c r="A44" s="69" t="s">
        <v>26</v>
      </c>
      <c r="B44" s="11">
        <v>551</v>
      </c>
      <c r="C44" s="11" t="s">
        <v>389</v>
      </c>
      <c r="D44" s="41">
        <v>551</v>
      </c>
      <c r="E44" s="11">
        <v>551</v>
      </c>
      <c r="F44" s="85"/>
      <c r="G44" s="12"/>
      <c r="H44" s="29">
        <f t="shared" si="25"/>
        <v>0</v>
      </c>
      <c r="I44" s="81"/>
      <c r="J44" s="57"/>
      <c r="K44" s="79">
        <f t="shared" si="26"/>
        <v>0</v>
      </c>
      <c r="L44" s="11">
        <v>100</v>
      </c>
      <c r="M44" s="49">
        <v>100</v>
      </c>
      <c r="N44" s="13">
        <v>100</v>
      </c>
      <c r="O44" s="85" t="s">
        <v>61</v>
      </c>
      <c r="P44" s="14"/>
      <c r="Q44" s="17">
        <f t="shared" si="27"/>
        <v>0</v>
      </c>
      <c r="R44" s="59"/>
      <c r="S44" s="31">
        <f t="shared" si="28"/>
        <v>0</v>
      </c>
    </row>
    <row r="45" spans="1:19" ht="35.25" customHeight="1" thickBot="1" x14ac:dyDescent="0.3">
      <c r="A45" s="69" t="s">
        <v>313</v>
      </c>
      <c r="B45" s="11">
        <v>1</v>
      </c>
      <c r="C45" s="11"/>
      <c r="D45" s="41">
        <v>1</v>
      </c>
      <c r="E45" s="11">
        <v>1</v>
      </c>
      <c r="F45" s="85"/>
      <c r="G45" s="12"/>
      <c r="H45" s="29">
        <f t="shared" si="25"/>
        <v>0</v>
      </c>
      <c r="I45" s="81"/>
      <c r="J45" s="57"/>
      <c r="K45" s="79">
        <f t="shared" si="26"/>
        <v>0</v>
      </c>
      <c r="L45" s="11"/>
      <c r="M45" s="49">
        <v>2</v>
      </c>
      <c r="N45" s="13">
        <v>2</v>
      </c>
      <c r="O45" s="85" t="s">
        <v>28</v>
      </c>
      <c r="P45" s="14"/>
      <c r="Q45" s="17"/>
      <c r="R45" s="59"/>
      <c r="S45" s="31">
        <f t="shared" si="28"/>
        <v>0</v>
      </c>
    </row>
    <row r="46" spans="1:19" ht="35.25" customHeight="1" thickBot="1" x14ac:dyDescent="0.3">
      <c r="A46" s="69" t="s">
        <v>313</v>
      </c>
      <c r="B46" s="11"/>
      <c r="C46" s="11"/>
      <c r="D46" s="41"/>
      <c r="E46" s="11"/>
      <c r="F46" s="85"/>
      <c r="G46" s="12"/>
      <c r="H46" s="29">
        <f t="shared" ref="H46:H47" si="29">B46-E46</f>
        <v>0</v>
      </c>
      <c r="I46" s="81"/>
      <c r="J46" s="57"/>
      <c r="K46" s="79">
        <f t="shared" ref="K46:K47" si="30">(E46-D46)</f>
        <v>0</v>
      </c>
      <c r="L46" s="11">
        <v>1</v>
      </c>
      <c r="M46" s="49">
        <v>1</v>
      </c>
      <c r="N46" s="13">
        <v>1</v>
      </c>
      <c r="O46" s="85" t="s">
        <v>28</v>
      </c>
      <c r="P46" s="14"/>
      <c r="Q46" s="17">
        <f t="shared" ref="Q46:Q47" si="31">L46-N46</f>
        <v>0</v>
      </c>
      <c r="R46" s="59"/>
      <c r="S46" s="31">
        <f t="shared" ref="S46:S47" si="32">(N46-M46)</f>
        <v>0</v>
      </c>
    </row>
    <row r="47" spans="1:19" ht="35.25" customHeight="1" thickBot="1" x14ac:dyDescent="0.3">
      <c r="A47" s="69" t="s">
        <v>4</v>
      </c>
      <c r="B47" s="11">
        <v>4</v>
      </c>
      <c r="C47" s="11"/>
      <c r="D47" s="41">
        <v>4</v>
      </c>
      <c r="E47" s="11">
        <v>4</v>
      </c>
      <c r="F47" s="85"/>
      <c r="G47" s="12"/>
      <c r="H47" s="29">
        <f t="shared" si="29"/>
        <v>0</v>
      </c>
      <c r="I47" s="81"/>
      <c r="J47" s="57"/>
      <c r="K47" s="79">
        <f t="shared" si="30"/>
        <v>0</v>
      </c>
      <c r="L47" s="11"/>
      <c r="M47" s="49"/>
      <c r="N47" s="13"/>
      <c r="O47" s="85"/>
      <c r="P47" s="14"/>
      <c r="Q47" s="17">
        <f t="shared" si="31"/>
        <v>0</v>
      </c>
      <c r="R47" s="59"/>
      <c r="S47" s="31">
        <f t="shared" si="32"/>
        <v>0</v>
      </c>
    </row>
    <row r="48" spans="1:19" ht="35.25" customHeight="1" thickBot="1" x14ac:dyDescent="0.3">
      <c r="A48" s="69" t="s">
        <v>378</v>
      </c>
      <c r="B48" s="11">
        <v>501</v>
      </c>
      <c r="C48" s="11" t="s">
        <v>379</v>
      </c>
      <c r="D48" s="41">
        <v>501</v>
      </c>
      <c r="E48" s="11">
        <v>501</v>
      </c>
      <c r="F48" s="85"/>
      <c r="G48" s="12"/>
      <c r="H48" s="29">
        <f t="shared" ref="H48" si="33">B48-E48</f>
        <v>0</v>
      </c>
      <c r="I48" s="81"/>
      <c r="J48" s="57"/>
      <c r="K48" s="79">
        <f t="shared" ref="K48" si="34">(E48-D48)</f>
        <v>0</v>
      </c>
      <c r="L48" s="11"/>
      <c r="M48" s="49"/>
      <c r="N48" s="13"/>
      <c r="O48" s="85"/>
      <c r="P48" s="14"/>
      <c r="Q48" s="17">
        <f t="shared" ref="Q48" si="35">L48-N48</f>
        <v>0</v>
      </c>
      <c r="R48" s="59"/>
      <c r="S48" s="31">
        <f t="shared" ref="S48" si="36">(N48-M48)</f>
        <v>0</v>
      </c>
    </row>
    <row r="49" spans="1:19" ht="35.25" customHeight="1" thickBot="1" x14ac:dyDescent="0.3">
      <c r="A49" s="69" t="s">
        <v>387</v>
      </c>
      <c r="B49" s="11">
        <v>31</v>
      </c>
      <c r="C49" s="11" t="s">
        <v>388</v>
      </c>
      <c r="D49" s="41">
        <v>31</v>
      </c>
      <c r="E49" s="11">
        <v>31</v>
      </c>
      <c r="F49" s="85"/>
      <c r="G49" s="12"/>
      <c r="H49" s="29">
        <f>B49-E49</f>
        <v>0</v>
      </c>
      <c r="I49" s="81"/>
      <c r="J49" s="57"/>
      <c r="K49" s="79">
        <f>(E49-D49)</f>
        <v>0</v>
      </c>
      <c r="L49" s="11"/>
      <c r="M49" s="49"/>
      <c r="N49" s="13"/>
      <c r="O49" s="85"/>
      <c r="P49" s="14"/>
      <c r="Q49" s="17">
        <f>L49-N49</f>
        <v>0</v>
      </c>
      <c r="R49" s="59"/>
      <c r="S49" s="31">
        <f>(N49-M49)</f>
        <v>0</v>
      </c>
    </row>
    <row r="50" spans="1:19" ht="35.25" customHeight="1" thickBot="1" x14ac:dyDescent="0.3">
      <c r="A50" s="69" t="s">
        <v>279</v>
      </c>
      <c r="B50" s="11"/>
      <c r="C50" s="11"/>
      <c r="D50" s="41"/>
      <c r="E50" s="11"/>
      <c r="F50" s="85"/>
      <c r="G50" s="12"/>
      <c r="H50" s="29">
        <f>B50-E50</f>
        <v>0</v>
      </c>
      <c r="I50" s="81"/>
      <c r="J50" s="57"/>
      <c r="K50" s="79">
        <f>(E50-D50)</f>
        <v>0</v>
      </c>
      <c r="L50" s="11">
        <v>1</v>
      </c>
      <c r="M50" s="49">
        <v>1</v>
      </c>
      <c r="N50" s="13">
        <v>1</v>
      </c>
      <c r="O50" s="85" t="s">
        <v>28</v>
      </c>
      <c r="P50" s="14"/>
      <c r="Q50" s="17">
        <f>L50-N50</f>
        <v>0</v>
      </c>
      <c r="R50" s="59"/>
      <c r="S50" s="31">
        <f>(N50-M50)</f>
        <v>0</v>
      </c>
    </row>
    <row r="51" spans="1:19" ht="35.25" customHeight="1" thickBot="1" x14ac:dyDescent="0.3">
      <c r="A51" s="69" t="s">
        <v>385</v>
      </c>
      <c r="B51" s="11">
        <v>251</v>
      </c>
      <c r="C51" s="11" t="s">
        <v>176</v>
      </c>
      <c r="D51" s="41">
        <v>251</v>
      </c>
      <c r="E51" s="11">
        <v>251</v>
      </c>
      <c r="F51" s="85"/>
      <c r="G51" s="12"/>
      <c r="H51" s="29">
        <f t="shared" ref="H51" si="37">B51-E51</f>
        <v>0</v>
      </c>
      <c r="I51" s="81"/>
      <c r="J51" s="57"/>
      <c r="K51" s="79">
        <f t="shared" ref="K51" si="38">(E51-D51)</f>
        <v>0</v>
      </c>
      <c r="L51" s="11"/>
      <c r="M51" s="49"/>
      <c r="N51" s="13"/>
      <c r="O51" s="85"/>
      <c r="P51" s="14"/>
      <c r="Q51" s="17">
        <f t="shared" ref="Q51" si="39">L51-N51</f>
        <v>0</v>
      </c>
      <c r="R51" s="59"/>
      <c r="S51" s="31">
        <f t="shared" ref="S51" si="40">(N51-M51)</f>
        <v>0</v>
      </c>
    </row>
    <row r="52" spans="1:19" ht="35.25" customHeight="1" thickBot="1" x14ac:dyDescent="0.3">
      <c r="A52" s="69" t="s">
        <v>386</v>
      </c>
      <c r="B52" s="11">
        <v>101</v>
      </c>
      <c r="C52" s="11" t="s">
        <v>373</v>
      </c>
      <c r="D52" s="41">
        <v>101</v>
      </c>
      <c r="E52" s="11">
        <v>101</v>
      </c>
      <c r="F52" s="85"/>
      <c r="G52" s="12"/>
      <c r="H52" s="29">
        <f t="shared" ref="H52" si="41">B52-E52</f>
        <v>0</v>
      </c>
      <c r="I52" s="81"/>
      <c r="J52" s="57"/>
      <c r="K52" s="79">
        <f t="shared" ref="K52" si="42">(E52-D52)</f>
        <v>0</v>
      </c>
      <c r="L52" s="11">
        <v>100</v>
      </c>
      <c r="M52" s="49">
        <v>100</v>
      </c>
      <c r="N52" s="13">
        <v>100</v>
      </c>
      <c r="O52" s="85" t="s">
        <v>61</v>
      </c>
      <c r="P52" s="14"/>
      <c r="Q52" s="17">
        <f t="shared" ref="Q52" si="43">L52-N52</f>
        <v>0</v>
      </c>
      <c r="R52" s="59"/>
      <c r="S52" s="31">
        <f t="shared" ref="S52" si="44">(N52-M52)</f>
        <v>0</v>
      </c>
    </row>
    <row r="53" spans="1:19" ht="35.25" customHeight="1" thickBot="1" x14ac:dyDescent="0.3">
      <c r="A53" s="69" t="s">
        <v>380</v>
      </c>
      <c r="B53" s="11">
        <v>51</v>
      </c>
      <c r="C53" s="11" t="s">
        <v>381</v>
      </c>
      <c r="D53" s="41">
        <v>51</v>
      </c>
      <c r="E53" s="11">
        <v>51</v>
      </c>
      <c r="F53" s="85"/>
      <c r="G53" s="12"/>
      <c r="H53" s="29">
        <f t="shared" ref="H53:H61" si="45">B53-E53</f>
        <v>0</v>
      </c>
      <c r="I53" s="81"/>
      <c r="J53" s="57"/>
      <c r="K53" s="79">
        <f t="shared" ref="K53:K61" si="46">(E53-D53)</f>
        <v>0</v>
      </c>
      <c r="L53" s="11"/>
      <c r="M53" s="49"/>
      <c r="N53" s="13"/>
      <c r="O53" s="85"/>
      <c r="P53" s="14"/>
      <c r="Q53" s="17">
        <f t="shared" ref="Q53:Q58" si="47">L53-N53</f>
        <v>0</v>
      </c>
      <c r="R53" s="59"/>
      <c r="S53" s="31">
        <f t="shared" ref="S53:S58" si="48">(N53-M53)</f>
        <v>0</v>
      </c>
    </row>
    <row r="54" spans="1:19" ht="35.25" customHeight="1" thickBot="1" x14ac:dyDescent="0.3">
      <c r="A54" s="69" t="s">
        <v>377</v>
      </c>
      <c r="B54" s="11">
        <v>50</v>
      </c>
      <c r="C54" s="11" t="s">
        <v>373</v>
      </c>
      <c r="D54" s="41">
        <v>50</v>
      </c>
      <c r="E54" s="11">
        <v>50</v>
      </c>
      <c r="F54" s="85"/>
      <c r="G54" s="12"/>
      <c r="H54" s="29">
        <f t="shared" si="45"/>
        <v>0</v>
      </c>
      <c r="I54" s="81"/>
      <c r="J54" s="57"/>
      <c r="K54" s="79">
        <f t="shared" si="46"/>
        <v>0</v>
      </c>
      <c r="L54" s="11"/>
      <c r="M54" s="49"/>
      <c r="N54" s="13"/>
      <c r="O54" s="85"/>
      <c r="P54" s="14"/>
      <c r="Q54" s="17">
        <f t="shared" si="47"/>
        <v>0</v>
      </c>
      <c r="R54" s="59"/>
      <c r="S54" s="31">
        <f t="shared" si="48"/>
        <v>0</v>
      </c>
    </row>
    <row r="55" spans="1:19" ht="35.25" customHeight="1" thickBot="1" x14ac:dyDescent="0.3">
      <c r="A55" s="69" t="s">
        <v>331</v>
      </c>
      <c r="B55" s="11">
        <v>100</v>
      </c>
      <c r="C55" s="11" t="s">
        <v>384</v>
      </c>
      <c r="D55" s="41">
        <v>100</v>
      </c>
      <c r="E55" s="11">
        <v>100</v>
      </c>
      <c r="F55" s="85"/>
      <c r="G55" s="12"/>
      <c r="H55" s="29">
        <f t="shared" si="45"/>
        <v>0</v>
      </c>
      <c r="I55" s="81"/>
      <c r="J55" s="57"/>
      <c r="K55" s="79">
        <f t="shared" si="46"/>
        <v>0</v>
      </c>
      <c r="L55" s="11"/>
      <c r="M55" s="49"/>
      <c r="N55" s="13"/>
      <c r="O55" s="85"/>
      <c r="P55" s="14"/>
      <c r="Q55" s="17">
        <f t="shared" si="47"/>
        <v>0</v>
      </c>
      <c r="R55" s="59"/>
      <c r="S55" s="31">
        <f t="shared" si="48"/>
        <v>0</v>
      </c>
    </row>
    <row r="56" spans="1:19" ht="35.25" customHeight="1" thickBot="1" x14ac:dyDescent="0.3">
      <c r="A56" s="69" t="s">
        <v>382</v>
      </c>
      <c r="B56" s="11">
        <v>161</v>
      </c>
      <c r="C56" s="11" t="s">
        <v>165</v>
      </c>
      <c r="D56" s="41">
        <v>161</v>
      </c>
      <c r="E56" s="11">
        <v>161</v>
      </c>
      <c r="F56" s="85"/>
      <c r="G56" s="12"/>
      <c r="H56" s="29">
        <f t="shared" si="45"/>
        <v>0</v>
      </c>
      <c r="I56" s="81"/>
      <c r="J56" s="57"/>
      <c r="K56" s="79">
        <f t="shared" si="46"/>
        <v>0</v>
      </c>
      <c r="L56" s="11"/>
      <c r="M56" s="49"/>
      <c r="N56" s="13"/>
      <c r="O56" s="85"/>
      <c r="P56" s="14"/>
      <c r="Q56" s="17">
        <f t="shared" si="47"/>
        <v>0</v>
      </c>
      <c r="R56" s="59"/>
      <c r="S56" s="31">
        <f t="shared" si="48"/>
        <v>0</v>
      </c>
    </row>
    <row r="57" spans="1:19" ht="35.25" customHeight="1" thickBot="1" x14ac:dyDescent="0.3">
      <c r="A57" s="69" t="s">
        <v>241</v>
      </c>
      <c r="B57" s="11">
        <v>1000</v>
      </c>
      <c r="C57" s="11" t="s">
        <v>363</v>
      </c>
      <c r="D57" s="41">
        <v>1000</v>
      </c>
      <c r="E57" s="11">
        <v>1000</v>
      </c>
      <c r="F57" s="85"/>
      <c r="G57" s="12"/>
      <c r="H57" s="29">
        <f t="shared" si="45"/>
        <v>0</v>
      </c>
      <c r="I57" s="81"/>
      <c r="J57" s="57"/>
      <c r="K57" s="79">
        <f t="shared" si="46"/>
        <v>0</v>
      </c>
      <c r="L57" s="11"/>
      <c r="M57" s="49"/>
      <c r="N57" s="13"/>
      <c r="O57" s="85"/>
      <c r="P57" s="14"/>
      <c r="Q57" s="17">
        <f t="shared" si="47"/>
        <v>0</v>
      </c>
      <c r="R57" s="59"/>
      <c r="S57" s="31">
        <f t="shared" si="48"/>
        <v>0</v>
      </c>
    </row>
    <row r="58" spans="1:19" ht="35.25" customHeight="1" thickBot="1" x14ac:dyDescent="0.3">
      <c r="A58" s="69" t="s">
        <v>336</v>
      </c>
      <c r="B58" s="11">
        <v>3503</v>
      </c>
      <c r="C58" s="11" t="s">
        <v>121</v>
      </c>
      <c r="D58" s="41">
        <v>3503</v>
      </c>
      <c r="E58" s="11">
        <v>3503</v>
      </c>
      <c r="F58" s="85"/>
      <c r="G58" s="12"/>
      <c r="H58" s="29">
        <f t="shared" si="45"/>
        <v>0</v>
      </c>
      <c r="I58" s="81"/>
      <c r="J58" s="57"/>
      <c r="K58" s="79">
        <f t="shared" si="46"/>
        <v>0</v>
      </c>
      <c r="L58" s="11">
        <v>145</v>
      </c>
      <c r="M58" s="49">
        <v>145</v>
      </c>
      <c r="N58" s="13">
        <v>145</v>
      </c>
      <c r="O58" s="85"/>
      <c r="P58" s="14"/>
      <c r="Q58" s="17">
        <f t="shared" si="47"/>
        <v>0</v>
      </c>
      <c r="R58" s="59"/>
      <c r="S58" s="31">
        <f t="shared" si="48"/>
        <v>0</v>
      </c>
    </row>
    <row r="59" spans="1:19" ht="35.25" customHeight="1" thickBot="1" x14ac:dyDescent="0.3">
      <c r="A59" s="69" t="s">
        <v>383</v>
      </c>
      <c r="B59" s="11">
        <v>0</v>
      </c>
      <c r="C59" s="11"/>
      <c r="D59" s="41"/>
      <c r="E59" s="11"/>
      <c r="F59" s="85"/>
      <c r="G59" s="12"/>
      <c r="H59" s="29">
        <f t="shared" si="45"/>
        <v>0</v>
      </c>
      <c r="I59" s="81"/>
      <c r="J59" s="57"/>
      <c r="K59" s="79">
        <f t="shared" si="46"/>
        <v>0</v>
      </c>
      <c r="L59" s="11">
        <v>30</v>
      </c>
      <c r="M59" s="49">
        <v>30</v>
      </c>
      <c r="N59" s="13">
        <v>30</v>
      </c>
      <c r="O59" s="85" t="s">
        <v>28</v>
      </c>
      <c r="P59" s="14"/>
      <c r="Q59" s="17">
        <f t="shared" ref="Q59:Q65" si="49">L59-N59</f>
        <v>0</v>
      </c>
      <c r="R59" s="59"/>
      <c r="S59" s="31">
        <f t="shared" ref="S59:S65" si="50">(N59-M59)</f>
        <v>0</v>
      </c>
    </row>
    <row r="60" spans="1:19" ht="35.25" customHeight="1" thickBot="1" x14ac:dyDescent="0.3">
      <c r="A60" s="69" t="s">
        <v>376</v>
      </c>
      <c r="B60" s="11">
        <v>242</v>
      </c>
      <c r="C60" s="11" t="s">
        <v>374</v>
      </c>
      <c r="D60" s="41">
        <v>242</v>
      </c>
      <c r="E60" s="11">
        <v>242</v>
      </c>
      <c r="F60" s="85"/>
      <c r="G60" s="12"/>
      <c r="H60" s="29">
        <f t="shared" si="45"/>
        <v>0</v>
      </c>
      <c r="I60" s="81"/>
      <c r="J60" s="57"/>
      <c r="K60" s="79">
        <f t="shared" si="46"/>
        <v>0</v>
      </c>
      <c r="L60" s="11">
        <v>14</v>
      </c>
      <c r="M60" s="49">
        <v>14</v>
      </c>
      <c r="N60" s="13">
        <v>14</v>
      </c>
      <c r="O60" s="85" t="s">
        <v>28</v>
      </c>
      <c r="P60" s="14"/>
      <c r="Q60" s="17">
        <f t="shared" si="49"/>
        <v>0</v>
      </c>
      <c r="R60" s="59"/>
      <c r="S60" s="31">
        <f t="shared" si="50"/>
        <v>0</v>
      </c>
    </row>
    <row r="61" spans="1:19" ht="35.25" customHeight="1" thickBot="1" x14ac:dyDescent="0.3">
      <c r="A61" s="69" t="s">
        <v>339</v>
      </c>
      <c r="B61" s="11">
        <v>335</v>
      </c>
      <c r="C61" s="11" t="s">
        <v>373</v>
      </c>
      <c r="D61" s="41">
        <v>335</v>
      </c>
      <c r="E61" s="11">
        <v>335</v>
      </c>
      <c r="F61" s="85"/>
      <c r="G61" s="12"/>
      <c r="H61" s="29">
        <f t="shared" si="45"/>
        <v>0</v>
      </c>
      <c r="I61" s="81"/>
      <c r="J61" s="57"/>
      <c r="K61" s="79">
        <f t="shared" si="46"/>
        <v>0</v>
      </c>
      <c r="L61" s="11"/>
      <c r="M61" s="49"/>
      <c r="N61" s="13"/>
      <c r="O61" s="85"/>
      <c r="P61" s="14"/>
      <c r="Q61" s="17">
        <f t="shared" si="49"/>
        <v>0</v>
      </c>
      <c r="R61" s="59"/>
      <c r="S61" s="31">
        <f t="shared" si="50"/>
        <v>0</v>
      </c>
    </row>
    <row r="62" spans="1:19" ht="35.25" customHeight="1" thickBot="1" x14ac:dyDescent="0.3">
      <c r="A62" s="69" t="s">
        <v>313</v>
      </c>
      <c r="B62" s="11"/>
      <c r="C62" s="11" t="s">
        <v>375</v>
      </c>
      <c r="D62" s="41"/>
      <c r="E62" s="11"/>
      <c r="F62" s="85"/>
      <c r="G62" s="12"/>
      <c r="H62" s="29"/>
      <c r="I62" s="81"/>
      <c r="J62" s="57"/>
      <c r="K62" s="79">
        <f t="shared" ref="K62:K63" si="51">(E62-D62)</f>
        <v>0</v>
      </c>
      <c r="L62" s="11">
        <v>40</v>
      </c>
      <c r="M62" s="49">
        <v>40</v>
      </c>
      <c r="N62" s="13">
        <v>40</v>
      </c>
      <c r="O62" s="85" t="s">
        <v>28</v>
      </c>
      <c r="P62" s="14"/>
      <c r="Q62" s="17">
        <f t="shared" si="49"/>
        <v>0</v>
      </c>
      <c r="R62" s="59"/>
      <c r="S62" s="31">
        <f t="shared" si="50"/>
        <v>0</v>
      </c>
    </row>
    <row r="63" spans="1:19" ht="35.25" customHeight="1" thickBot="1" x14ac:dyDescent="0.3">
      <c r="A63" s="69" t="s">
        <v>15</v>
      </c>
      <c r="B63" s="11">
        <v>0</v>
      </c>
      <c r="C63" s="11" t="s">
        <v>355</v>
      </c>
      <c r="D63" s="41"/>
      <c r="E63" s="11"/>
      <c r="F63" s="85"/>
      <c r="G63" s="12"/>
      <c r="H63" s="29">
        <f>B63-E63</f>
        <v>0</v>
      </c>
      <c r="I63" s="81"/>
      <c r="J63" s="57"/>
      <c r="K63" s="79">
        <f t="shared" si="51"/>
        <v>0</v>
      </c>
      <c r="L63" s="11">
        <v>24</v>
      </c>
      <c r="M63" s="49">
        <v>24</v>
      </c>
      <c r="N63" s="13">
        <v>24</v>
      </c>
      <c r="O63" s="85" t="s">
        <v>28</v>
      </c>
      <c r="P63" s="14"/>
      <c r="Q63" s="17">
        <f t="shared" si="49"/>
        <v>0</v>
      </c>
      <c r="R63" s="59"/>
      <c r="S63" s="31">
        <f t="shared" si="50"/>
        <v>0</v>
      </c>
    </row>
    <row r="64" spans="1:19" ht="35.25" customHeight="1" thickBot="1" x14ac:dyDescent="0.3">
      <c r="A64" s="69" t="s">
        <v>313</v>
      </c>
      <c r="B64" s="11">
        <v>310</v>
      </c>
      <c r="C64" s="11" t="s">
        <v>330</v>
      </c>
      <c r="D64" s="41">
        <v>310</v>
      </c>
      <c r="E64" s="11">
        <v>310</v>
      </c>
      <c r="F64" s="85"/>
      <c r="G64" s="12"/>
      <c r="H64" s="29">
        <f>B64-E64</f>
        <v>0</v>
      </c>
      <c r="I64" s="81"/>
      <c r="J64" s="57"/>
      <c r="K64" s="79">
        <f>(E64-D64)</f>
        <v>0</v>
      </c>
      <c r="L64" s="11">
        <v>65</v>
      </c>
      <c r="M64" s="49">
        <v>65</v>
      </c>
      <c r="N64" s="13">
        <v>65</v>
      </c>
      <c r="O64" s="85" t="s">
        <v>28</v>
      </c>
      <c r="P64" s="14"/>
      <c r="Q64" s="17">
        <f t="shared" si="49"/>
        <v>0</v>
      </c>
      <c r="R64" s="59"/>
      <c r="S64" s="31">
        <f t="shared" si="50"/>
        <v>0</v>
      </c>
    </row>
    <row r="65" spans="1:20" ht="35.25" customHeight="1" thickBot="1" x14ac:dyDescent="0.3">
      <c r="A65" s="69" t="s">
        <v>372</v>
      </c>
      <c r="B65" s="11">
        <v>400</v>
      </c>
      <c r="C65" s="11" t="s">
        <v>373</v>
      </c>
      <c r="D65" s="41">
        <v>400</v>
      </c>
      <c r="E65" s="11">
        <v>400</v>
      </c>
      <c r="F65" s="85"/>
      <c r="G65" s="12"/>
      <c r="H65" s="29">
        <f>B65-E65</f>
        <v>0</v>
      </c>
      <c r="I65" s="81"/>
      <c r="J65" s="57"/>
      <c r="K65" s="79">
        <f>(E65-D65)</f>
        <v>0</v>
      </c>
      <c r="L65" s="11"/>
      <c r="M65" s="49"/>
      <c r="N65" s="13"/>
      <c r="O65" s="85"/>
      <c r="P65" s="14"/>
      <c r="Q65" s="17">
        <f t="shared" si="49"/>
        <v>0</v>
      </c>
      <c r="R65" s="59"/>
      <c r="S65" s="31">
        <f t="shared" si="50"/>
        <v>0</v>
      </c>
    </row>
    <row r="66" spans="1:20" ht="35.25" customHeight="1" thickBot="1" x14ac:dyDescent="0.3">
      <c r="A66" s="69" t="s">
        <v>369</v>
      </c>
      <c r="B66" s="11">
        <v>27</v>
      </c>
      <c r="C66" s="11"/>
      <c r="D66" s="41">
        <v>27</v>
      </c>
      <c r="E66" s="11">
        <v>27</v>
      </c>
      <c r="F66" s="85" t="s">
        <v>371</v>
      </c>
      <c r="G66" s="12"/>
      <c r="H66" s="29">
        <f t="shared" ref="H66:H71" si="52">B66-E66</f>
        <v>0</v>
      </c>
      <c r="I66" s="81"/>
      <c r="J66" s="57"/>
      <c r="K66" s="79">
        <f t="shared" ref="K66:K71" si="53">(E66-D66)</f>
        <v>0</v>
      </c>
      <c r="L66" s="11"/>
      <c r="M66" s="49"/>
      <c r="N66" s="13"/>
      <c r="O66" s="85"/>
      <c r="P66" s="14"/>
      <c r="Q66" s="17">
        <f t="shared" ref="Q66:Q71" si="54">L66-N66</f>
        <v>0</v>
      </c>
      <c r="R66" s="59"/>
      <c r="S66" s="31">
        <f t="shared" ref="S66:S71" si="55">(N66-M66)</f>
        <v>0</v>
      </c>
    </row>
    <row r="67" spans="1:20" ht="35.25" customHeight="1" thickBot="1" x14ac:dyDescent="0.3">
      <c r="A67" s="69" t="s">
        <v>369</v>
      </c>
      <c r="B67" s="11">
        <v>47</v>
      </c>
      <c r="C67" s="11"/>
      <c r="D67" s="41">
        <v>47</v>
      </c>
      <c r="E67" s="11">
        <v>47</v>
      </c>
      <c r="F67" s="85" t="s">
        <v>258</v>
      </c>
      <c r="G67" s="12"/>
      <c r="H67" s="29">
        <f t="shared" si="52"/>
        <v>0</v>
      </c>
      <c r="I67" s="81"/>
      <c r="J67" s="57"/>
      <c r="K67" s="79">
        <f t="shared" si="53"/>
        <v>0</v>
      </c>
      <c r="L67" s="11"/>
      <c r="M67" s="49"/>
      <c r="N67" s="13"/>
      <c r="O67" s="85"/>
      <c r="P67" s="14"/>
      <c r="Q67" s="17">
        <f t="shared" si="54"/>
        <v>0</v>
      </c>
      <c r="R67" s="59"/>
      <c r="S67" s="31">
        <f t="shared" si="55"/>
        <v>0</v>
      </c>
    </row>
    <row r="68" spans="1:20" ht="35.25" customHeight="1" thickBot="1" x14ac:dyDescent="0.3">
      <c r="A68" s="69" t="s">
        <v>369</v>
      </c>
      <c r="B68" s="11">
        <v>20</v>
      </c>
      <c r="C68" s="11"/>
      <c r="D68" s="41">
        <v>20</v>
      </c>
      <c r="E68" s="11">
        <v>20</v>
      </c>
      <c r="F68" s="85" t="s">
        <v>370</v>
      </c>
      <c r="G68" s="12"/>
      <c r="H68" s="29">
        <f t="shared" si="52"/>
        <v>0</v>
      </c>
      <c r="I68" s="81"/>
      <c r="J68" s="57"/>
      <c r="K68" s="79">
        <f t="shared" si="53"/>
        <v>0</v>
      </c>
      <c r="L68" s="11"/>
      <c r="M68" s="49"/>
      <c r="N68" s="13"/>
      <c r="O68" s="85"/>
      <c r="P68" s="14"/>
      <c r="Q68" s="17">
        <f t="shared" si="54"/>
        <v>0</v>
      </c>
      <c r="R68" s="59"/>
      <c r="S68" s="31">
        <f t="shared" si="55"/>
        <v>0</v>
      </c>
      <c r="T68" s="83"/>
    </row>
    <row r="69" spans="1:20" ht="35.25" customHeight="1" thickBot="1" x14ac:dyDescent="0.3">
      <c r="A69" s="69" t="s">
        <v>155</v>
      </c>
      <c r="B69" s="11">
        <v>200</v>
      </c>
      <c r="C69" s="11"/>
      <c r="D69" s="41">
        <v>200</v>
      </c>
      <c r="E69" s="11">
        <v>200</v>
      </c>
      <c r="F69" s="85" t="s">
        <v>258</v>
      </c>
      <c r="G69" s="12"/>
      <c r="H69" s="29">
        <f t="shared" si="52"/>
        <v>0</v>
      </c>
      <c r="I69" s="81"/>
      <c r="J69" s="57"/>
      <c r="K69" s="79">
        <f t="shared" si="53"/>
        <v>0</v>
      </c>
      <c r="L69" s="11"/>
      <c r="M69" s="49"/>
      <c r="N69" s="13"/>
      <c r="O69" s="85"/>
      <c r="P69" s="14"/>
      <c r="Q69" s="17">
        <f t="shared" si="54"/>
        <v>0</v>
      </c>
      <c r="R69" s="59"/>
      <c r="S69" s="31">
        <f t="shared" si="55"/>
        <v>0</v>
      </c>
    </row>
    <row r="70" spans="1:20" ht="35.25" customHeight="1" thickBot="1" x14ac:dyDescent="0.3">
      <c r="A70" s="69" t="s">
        <v>367</v>
      </c>
      <c r="B70" s="11">
        <v>100</v>
      </c>
      <c r="C70" s="11" t="s">
        <v>368</v>
      </c>
      <c r="D70" s="41">
        <v>100</v>
      </c>
      <c r="E70" s="11">
        <v>100</v>
      </c>
      <c r="F70" s="85"/>
      <c r="G70" s="12"/>
      <c r="H70" s="29">
        <f t="shared" si="52"/>
        <v>0</v>
      </c>
      <c r="I70" s="81"/>
      <c r="J70" s="57"/>
      <c r="K70" s="79">
        <f>(E70-D70)</f>
        <v>0</v>
      </c>
      <c r="L70" s="11"/>
      <c r="M70" s="49"/>
      <c r="N70" s="13"/>
      <c r="O70" s="85"/>
      <c r="P70" s="14"/>
      <c r="Q70" s="17">
        <f t="shared" si="54"/>
        <v>0</v>
      </c>
      <c r="R70" s="59"/>
      <c r="S70" s="31">
        <f t="shared" si="55"/>
        <v>0</v>
      </c>
    </row>
    <row r="71" spans="1:20" ht="35.25" customHeight="1" thickBot="1" x14ac:dyDescent="0.3">
      <c r="A71" s="69" t="s">
        <v>366</v>
      </c>
      <c r="B71" s="11">
        <v>48</v>
      </c>
      <c r="C71" s="11" t="s">
        <v>136</v>
      </c>
      <c r="D71" s="41">
        <v>48</v>
      </c>
      <c r="E71" s="11">
        <v>48</v>
      </c>
      <c r="F71" s="85"/>
      <c r="G71" s="12"/>
      <c r="H71" s="29">
        <f t="shared" si="52"/>
        <v>0</v>
      </c>
      <c r="I71" s="81"/>
      <c r="J71" s="57">
        <v>2</v>
      </c>
      <c r="K71" s="79">
        <f t="shared" si="53"/>
        <v>0</v>
      </c>
      <c r="L71" s="11"/>
      <c r="M71" s="49"/>
      <c r="N71" s="13"/>
      <c r="O71" s="85"/>
      <c r="P71" s="14"/>
      <c r="Q71" s="17">
        <f t="shared" si="54"/>
        <v>0</v>
      </c>
      <c r="R71" s="59"/>
      <c r="S71" s="31">
        <f t="shared" si="55"/>
        <v>0</v>
      </c>
    </row>
    <row r="72" spans="1:20" ht="35.25" customHeight="1" thickBot="1" x14ac:dyDescent="0.3">
      <c r="A72" s="69" t="s">
        <v>364</v>
      </c>
      <c r="B72" s="11">
        <v>301</v>
      </c>
      <c r="C72" s="11" t="s">
        <v>365</v>
      </c>
      <c r="D72" s="41">
        <v>301</v>
      </c>
      <c r="E72" s="11">
        <v>301</v>
      </c>
      <c r="F72" s="85"/>
      <c r="G72" s="12"/>
      <c r="H72" s="29">
        <f t="shared" ref="H72:H78" si="56">B72-E72</f>
        <v>0</v>
      </c>
      <c r="I72" s="81"/>
      <c r="J72" s="57"/>
      <c r="K72" s="79">
        <f t="shared" ref="K72:K78" si="57">(E72-D72)</f>
        <v>0</v>
      </c>
      <c r="L72" s="11"/>
      <c r="M72" s="49"/>
      <c r="N72" s="13"/>
      <c r="O72" s="85"/>
      <c r="P72" s="14"/>
      <c r="Q72" s="17">
        <f t="shared" ref="Q72:Q78" si="58">L72-N72</f>
        <v>0</v>
      </c>
      <c r="R72" s="59"/>
      <c r="S72" s="31">
        <f t="shared" ref="S72:S78" si="59">(N72-M72)</f>
        <v>0</v>
      </c>
    </row>
    <row r="73" spans="1:20" ht="35.25" customHeight="1" thickBot="1" x14ac:dyDescent="0.3">
      <c r="A73" s="69" t="s">
        <v>205</v>
      </c>
      <c r="B73" s="11">
        <v>550</v>
      </c>
      <c r="C73" s="11" t="s">
        <v>337</v>
      </c>
      <c r="D73" s="41">
        <v>550</v>
      </c>
      <c r="E73" s="11">
        <v>550</v>
      </c>
      <c r="F73" s="85"/>
      <c r="G73" s="12"/>
      <c r="H73" s="29">
        <f t="shared" si="56"/>
        <v>0</v>
      </c>
      <c r="I73" s="81"/>
      <c r="J73" s="57"/>
      <c r="K73" s="79">
        <f t="shared" si="57"/>
        <v>0</v>
      </c>
      <c r="L73" s="11"/>
      <c r="M73" s="49"/>
      <c r="N73" s="13"/>
      <c r="O73" s="85"/>
      <c r="P73" s="14"/>
      <c r="Q73" s="17">
        <f t="shared" si="58"/>
        <v>0</v>
      </c>
      <c r="R73" s="59"/>
      <c r="S73" s="31">
        <f t="shared" si="59"/>
        <v>0</v>
      </c>
    </row>
    <row r="74" spans="1:20" ht="35.25" customHeight="1" thickBot="1" x14ac:dyDescent="0.3">
      <c r="A74" s="69" t="s">
        <v>110</v>
      </c>
      <c r="B74" s="11">
        <v>1902</v>
      </c>
      <c r="C74" s="11" t="s">
        <v>334</v>
      </c>
      <c r="D74" s="41">
        <v>1902</v>
      </c>
      <c r="E74" s="11">
        <v>1902</v>
      </c>
      <c r="F74" s="85"/>
      <c r="G74" s="12"/>
      <c r="H74" s="29">
        <f t="shared" si="56"/>
        <v>0</v>
      </c>
      <c r="I74" s="81"/>
      <c r="J74" s="57"/>
      <c r="K74" s="79">
        <f t="shared" si="57"/>
        <v>0</v>
      </c>
      <c r="L74" s="11"/>
      <c r="M74" s="49"/>
      <c r="N74" s="13"/>
      <c r="O74" s="85"/>
      <c r="P74" s="14"/>
      <c r="Q74" s="17">
        <f t="shared" si="58"/>
        <v>0</v>
      </c>
      <c r="R74" s="59"/>
      <c r="S74" s="31">
        <f t="shared" si="59"/>
        <v>0</v>
      </c>
    </row>
    <row r="75" spans="1:20" ht="35.25" customHeight="1" thickBot="1" x14ac:dyDescent="0.3">
      <c r="A75" s="69" t="s">
        <v>358</v>
      </c>
      <c r="B75" s="11">
        <v>180</v>
      </c>
      <c r="C75" s="11"/>
      <c r="D75" s="41">
        <v>180</v>
      </c>
      <c r="E75" s="11">
        <v>180</v>
      </c>
      <c r="F75" s="85"/>
      <c r="G75" s="12"/>
      <c r="H75" s="29">
        <f t="shared" si="56"/>
        <v>0</v>
      </c>
      <c r="I75" s="81"/>
      <c r="J75" s="57">
        <v>1</v>
      </c>
      <c r="K75" s="79">
        <f t="shared" si="57"/>
        <v>0</v>
      </c>
      <c r="L75" s="11">
        <v>60</v>
      </c>
      <c r="M75" s="49">
        <v>60</v>
      </c>
      <c r="N75" s="13">
        <v>60</v>
      </c>
      <c r="O75" s="85" t="s">
        <v>28</v>
      </c>
      <c r="P75" s="14"/>
      <c r="Q75" s="17">
        <f t="shared" si="58"/>
        <v>0</v>
      </c>
      <c r="R75" s="59"/>
      <c r="S75" s="31">
        <f t="shared" si="59"/>
        <v>0</v>
      </c>
    </row>
    <row r="76" spans="1:20" ht="35.25" customHeight="1" thickBot="1" x14ac:dyDescent="0.3">
      <c r="A76" s="69" t="s">
        <v>357</v>
      </c>
      <c r="B76" s="11">
        <v>201</v>
      </c>
      <c r="C76" s="11" t="s">
        <v>356</v>
      </c>
      <c r="D76" s="41">
        <v>201</v>
      </c>
      <c r="E76" s="11">
        <v>201</v>
      </c>
      <c r="F76" s="85"/>
      <c r="G76" s="12"/>
      <c r="H76" s="29">
        <f t="shared" si="56"/>
        <v>0</v>
      </c>
      <c r="I76" s="81"/>
      <c r="J76" s="57"/>
      <c r="K76" s="79">
        <f t="shared" si="57"/>
        <v>0</v>
      </c>
      <c r="L76" s="11"/>
      <c r="M76" s="49"/>
      <c r="N76" s="13"/>
      <c r="O76" s="85"/>
      <c r="P76" s="14"/>
      <c r="Q76" s="17">
        <f t="shared" si="58"/>
        <v>0</v>
      </c>
      <c r="R76" s="59"/>
      <c r="S76" s="31">
        <f t="shared" si="59"/>
        <v>0</v>
      </c>
    </row>
    <row r="77" spans="1:20" ht="35.25" customHeight="1" thickBot="1" x14ac:dyDescent="0.3">
      <c r="A77" s="69" t="s">
        <v>360</v>
      </c>
      <c r="B77" s="11">
        <v>400</v>
      </c>
      <c r="C77" s="11" t="s">
        <v>361</v>
      </c>
      <c r="D77" s="41">
        <v>400</v>
      </c>
      <c r="E77" s="11">
        <v>400</v>
      </c>
      <c r="F77" s="85"/>
      <c r="G77" s="12"/>
      <c r="H77" s="29">
        <f t="shared" si="56"/>
        <v>0</v>
      </c>
      <c r="I77" s="81"/>
      <c r="J77" s="57"/>
      <c r="K77" s="79">
        <f t="shared" si="57"/>
        <v>0</v>
      </c>
      <c r="L77" s="11"/>
      <c r="M77" s="49"/>
      <c r="N77" s="13"/>
      <c r="O77" s="85"/>
      <c r="P77" s="14"/>
      <c r="Q77" s="17">
        <f t="shared" si="58"/>
        <v>0</v>
      </c>
      <c r="R77" s="59"/>
      <c r="S77" s="31">
        <f t="shared" si="59"/>
        <v>0</v>
      </c>
    </row>
    <row r="78" spans="1:20" ht="35.25" customHeight="1" thickBot="1" x14ac:dyDescent="0.3">
      <c r="A78" s="69" t="s">
        <v>359</v>
      </c>
      <c r="B78" s="11">
        <v>450</v>
      </c>
      <c r="C78" s="11"/>
      <c r="D78" s="41">
        <v>450</v>
      </c>
      <c r="E78" s="11">
        <v>450</v>
      </c>
      <c r="F78" s="85"/>
      <c r="G78" s="12"/>
      <c r="H78" s="29">
        <f t="shared" si="56"/>
        <v>0</v>
      </c>
      <c r="I78" s="81"/>
      <c r="J78" s="57"/>
      <c r="K78" s="79">
        <f t="shared" si="57"/>
        <v>0</v>
      </c>
      <c r="L78" s="11"/>
      <c r="M78" s="49"/>
      <c r="N78" s="13"/>
      <c r="O78" s="85"/>
      <c r="P78" s="14"/>
      <c r="Q78" s="17">
        <f t="shared" si="58"/>
        <v>0</v>
      </c>
      <c r="R78" s="59"/>
      <c r="S78" s="31">
        <f t="shared" si="59"/>
        <v>0</v>
      </c>
    </row>
    <row r="79" spans="1:20" ht="35.25" customHeight="1" thickBot="1" x14ac:dyDescent="0.3">
      <c r="A79" s="69" t="s">
        <v>338</v>
      </c>
      <c r="B79" s="11">
        <v>5</v>
      </c>
      <c r="C79" s="11"/>
      <c r="D79" s="41">
        <v>5</v>
      </c>
      <c r="E79" s="11">
        <v>5</v>
      </c>
      <c r="F79" s="85"/>
      <c r="G79" s="12"/>
      <c r="H79" s="29">
        <f t="shared" ref="H79:H84" si="60">B79-E79</f>
        <v>0</v>
      </c>
      <c r="I79" s="81"/>
      <c r="J79" s="57"/>
      <c r="K79" s="79">
        <f t="shared" ref="K79:K84" si="61">(E79-D79)</f>
        <v>0</v>
      </c>
      <c r="L79" s="11"/>
      <c r="M79" s="49"/>
      <c r="N79" s="13"/>
      <c r="O79" s="85"/>
      <c r="P79" s="14"/>
      <c r="Q79" s="17">
        <f t="shared" ref="Q79:Q84" si="62">L79-N79</f>
        <v>0</v>
      </c>
      <c r="R79" s="59"/>
      <c r="S79" s="31">
        <f t="shared" ref="S79:S84" si="63">(N79-M79)</f>
        <v>0</v>
      </c>
    </row>
    <row r="80" spans="1:20" ht="35.25" customHeight="1" thickBot="1" x14ac:dyDescent="0.3">
      <c r="A80" s="69" t="s">
        <v>362</v>
      </c>
      <c r="B80" s="11">
        <v>5</v>
      </c>
      <c r="C80" s="11"/>
      <c r="D80" s="41">
        <v>5</v>
      </c>
      <c r="E80" s="11">
        <v>5</v>
      </c>
      <c r="F80" s="85"/>
      <c r="G80" s="12"/>
      <c r="H80" s="29">
        <f t="shared" si="60"/>
        <v>0</v>
      </c>
      <c r="I80" s="81"/>
      <c r="J80" s="57"/>
      <c r="K80" s="79">
        <f t="shared" si="61"/>
        <v>0</v>
      </c>
      <c r="L80" s="11"/>
      <c r="M80" s="49"/>
      <c r="N80" s="13"/>
      <c r="O80" s="85"/>
      <c r="P80" s="14"/>
      <c r="Q80" s="17">
        <f t="shared" si="62"/>
        <v>0</v>
      </c>
      <c r="R80" s="59"/>
      <c r="S80" s="31">
        <f t="shared" si="63"/>
        <v>0</v>
      </c>
    </row>
    <row r="81" spans="1:19" ht="35.25" customHeight="1" thickBot="1" x14ac:dyDescent="0.3">
      <c r="A81" s="69" t="s">
        <v>331</v>
      </c>
      <c r="B81" s="11">
        <v>10</v>
      </c>
      <c r="C81" s="11"/>
      <c r="D81" s="41">
        <v>10</v>
      </c>
      <c r="E81" s="11">
        <v>10</v>
      </c>
      <c r="F81" s="85"/>
      <c r="G81" s="12"/>
      <c r="H81" s="29">
        <f t="shared" si="60"/>
        <v>0</v>
      </c>
      <c r="I81" s="81"/>
      <c r="J81" s="57">
        <v>1</v>
      </c>
      <c r="K81" s="79">
        <f t="shared" si="61"/>
        <v>0</v>
      </c>
      <c r="L81" s="11"/>
      <c r="M81" s="49"/>
      <c r="N81" s="13"/>
      <c r="O81" s="85"/>
      <c r="P81" s="14"/>
      <c r="Q81" s="17">
        <f t="shared" si="62"/>
        <v>0</v>
      </c>
      <c r="R81" s="59"/>
      <c r="S81" s="31">
        <f t="shared" si="63"/>
        <v>0</v>
      </c>
    </row>
    <row r="82" spans="1:19" ht="35.25" customHeight="1" thickBot="1" x14ac:dyDescent="0.3">
      <c r="A82" s="69" t="s">
        <v>354</v>
      </c>
      <c r="B82" s="11">
        <v>80</v>
      </c>
      <c r="C82" s="11" t="s">
        <v>355</v>
      </c>
      <c r="D82" s="41">
        <v>80</v>
      </c>
      <c r="E82" s="11">
        <v>80</v>
      </c>
      <c r="F82" s="85"/>
      <c r="G82" s="12"/>
      <c r="H82" s="29">
        <f t="shared" si="60"/>
        <v>0</v>
      </c>
      <c r="I82" s="81"/>
      <c r="J82" s="57"/>
      <c r="K82" s="79">
        <f t="shared" si="61"/>
        <v>0</v>
      </c>
      <c r="L82" s="11"/>
      <c r="M82" s="49"/>
      <c r="N82" s="13"/>
      <c r="O82" s="85"/>
      <c r="P82" s="14"/>
      <c r="Q82" s="17">
        <f t="shared" si="62"/>
        <v>0</v>
      </c>
      <c r="R82" s="59"/>
      <c r="S82" s="31">
        <f t="shared" si="63"/>
        <v>0</v>
      </c>
    </row>
    <row r="83" spans="1:19" ht="35.25" customHeight="1" thickBot="1" x14ac:dyDescent="0.3">
      <c r="A83" s="69" t="s">
        <v>4</v>
      </c>
      <c r="B83" s="11">
        <v>238</v>
      </c>
      <c r="C83" s="11" t="s">
        <v>341</v>
      </c>
      <c r="D83" s="41">
        <v>238</v>
      </c>
      <c r="E83" s="11">
        <v>238</v>
      </c>
      <c r="F83" s="85"/>
      <c r="G83" s="12"/>
      <c r="H83" s="29">
        <f t="shared" si="60"/>
        <v>0</v>
      </c>
      <c r="I83" s="81"/>
      <c r="J83" s="57"/>
      <c r="K83" s="79">
        <f t="shared" si="61"/>
        <v>0</v>
      </c>
      <c r="L83" s="11">
        <v>70</v>
      </c>
      <c r="M83" s="49">
        <v>70</v>
      </c>
      <c r="N83" s="13">
        <v>70</v>
      </c>
      <c r="O83" s="85" t="s">
        <v>28</v>
      </c>
      <c r="P83" s="14"/>
      <c r="Q83" s="17">
        <f t="shared" si="62"/>
        <v>0</v>
      </c>
      <c r="R83" s="59"/>
      <c r="S83" s="31">
        <f t="shared" si="63"/>
        <v>0</v>
      </c>
    </row>
    <row r="84" spans="1:19" ht="35.25" customHeight="1" thickBot="1" x14ac:dyDescent="0.3">
      <c r="A84" s="69" t="s">
        <v>340</v>
      </c>
      <c r="B84" s="11">
        <v>100</v>
      </c>
      <c r="C84" s="11" t="s">
        <v>341</v>
      </c>
      <c r="D84" s="41">
        <v>100</v>
      </c>
      <c r="E84" s="11">
        <v>100</v>
      </c>
      <c r="F84" s="85"/>
      <c r="G84" s="12"/>
      <c r="H84" s="29">
        <f t="shared" si="60"/>
        <v>0</v>
      </c>
      <c r="I84" s="81"/>
      <c r="J84" s="57"/>
      <c r="K84" s="79">
        <f t="shared" si="61"/>
        <v>0</v>
      </c>
      <c r="L84" s="11"/>
      <c r="M84" s="49"/>
      <c r="N84" s="13"/>
      <c r="O84" s="85"/>
      <c r="P84" s="14"/>
      <c r="Q84" s="17">
        <f t="shared" si="62"/>
        <v>0</v>
      </c>
      <c r="R84" s="59"/>
      <c r="S84" s="31">
        <f t="shared" si="63"/>
        <v>0</v>
      </c>
    </row>
    <row r="85" spans="1:19" ht="35.25" customHeight="1" thickBot="1" x14ac:dyDescent="0.3">
      <c r="A85" s="69" t="s">
        <v>325</v>
      </c>
      <c r="B85" s="11">
        <v>801</v>
      </c>
      <c r="C85" s="11" t="s">
        <v>327</v>
      </c>
      <c r="D85" s="41">
        <v>801</v>
      </c>
      <c r="E85" s="11">
        <v>801</v>
      </c>
      <c r="F85" s="85"/>
      <c r="G85" s="12"/>
      <c r="H85" s="29">
        <f t="shared" si="17"/>
        <v>0</v>
      </c>
      <c r="I85" s="81"/>
      <c r="J85" s="57"/>
      <c r="K85" s="79">
        <f t="shared" si="18"/>
        <v>0</v>
      </c>
      <c r="L85" s="11"/>
      <c r="M85" s="49"/>
      <c r="N85" s="13"/>
      <c r="O85" s="85"/>
      <c r="P85" s="14"/>
      <c r="Q85" s="17">
        <f t="shared" si="19"/>
        <v>0</v>
      </c>
      <c r="R85" s="59"/>
      <c r="S85" s="31">
        <f t="shared" ref="S85:S92" si="64">(N85-M85)</f>
        <v>0</v>
      </c>
    </row>
    <row r="86" spans="1:19" ht="35.25" customHeight="1" thickBot="1" x14ac:dyDescent="0.3">
      <c r="A86" s="69" t="s">
        <v>339</v>
      </c>
      <c r="B86" s="11">
        <v>131</v>
      </c>
      <c r="C86" s="11" t="s">
        <v>337</v>
      </c>
      <c r="D86" s="41">
        <v>131</v>
      </c>
      <c r="E86" s="11">
        <v>131</v>
      </c>
      <c r="F86" s="85"/>
      <c r="G86" s="12"/>
      <c r="H86" s="29">
        <f t="shared" si="17"/>
        <v>0</v>
      </c>
      <c r="I86" s="81"/>
      <c r="J86" s="57"/>
      <c r="K86" s="79">
        <f t="shared" si="18"/>
        <v>0</v>
      </c>
      <c r="L86" s="11"/>
      <c r="M86" s="49"/>
      <c r="N86" s="13"/>
      <c r="O86" s="85"/>
      <c r="P86" s="14"/>
      <c r="Q86" s="17">
        <f t="shared" si="19"/>
        <v>0</v>
      </c>
      <c r="R86" s="59"/>
      <c r="S86" s="31">
        <f t="shared" si="64"/>
        <v>0</v>
      </c>
    </row>
    <row r="87" spans="1:19" ht="35.25" customHeight="1" thickBot="1" x14ac:dyDescent="0.3">
      <c r="A87" s="69" t="s">
        <v>214</v>
      </c>
      <c r="B87" s="11">
        <v>50</v>
      </c>
      <c r="C87" s="11" t="s">
        <v>337</v>
      </c>
      <c r="D87" s="41">
        <v>50</v>
      </c>
      <c r="E87" s="11">
        <v>50</v>
      </c>
      <c r="F87" s="85"/>
      <c r="G87" s="12"/>
      <c r="H87" s="29">
        <f t="shared" si="15"/>
        <v>0</v>
      </c>
      <c r="I87" s="81"/>
      <c r="J87" s="57"/>
      <c r="K87" s="79">
        <f t="shared" si="16"/>
        <v>0</v>
      </c>
      <c r="L87" s="11"/>
      <c r="M87" s="49"/>
      <c r="N87" s="13"/>
      <c r="O87" s="85"/>
      <c r="P87" s="14"/>
      <c r="Q87" s="17">
        <f t="shared" si="9"/>
        <v>0</v>
      </c>
      <c r="R87" s="59"/>
      <c r="S87" s="31">
        <f t="shared" si="64"/>
        <v>0</v>
      </c>
    </row>
    <row r="88" spans="1:19" ht="35.25" customHeight="1" thickBot="1" x14ac:dyDescent="0.3">
      <c r="A88" s="69" t="s">
        <v>338</v>
      </c>
      <c r="B88" s="11">
        <v>76</v>
      </c>
      <c r="C88" s="11" t="s">
        <v>337</v>
      </c>
      <c r="D88" s="41">
        <v>76</v>
      </c>
      <c r="E88" s="11">
        <v>76</v>
      </c>
      <c r="F88" s="85"/>
      <c r="G88" s="12"/>
      <c r="H88" s="29">
        <f t="shared" si="15"/>
        <v>0</v>
      </c>
      <c r="I88" s="81"/>
      <c r="J88" s="57"/>
      <c r="K88" s="79">
        <f t="shared" si="16"/>
        <v>0</v>
      </c>
      <c r="L88" s="11"/>
      <c r="M88" s="49"/>
      <c r="N88" s="13"/>
      <c r="O88" s="85"/>
      <c r="P88" s="14"/>
      <c r="Q88" s="17">
        <f t="shared" si="9"/>
        <v>0</v>
      </c>
      <c r="R88" s="59"/>
      <c r="S88" s="31">
        <f t="shared" si="64"/>
        <v>0</v>
      </c>
    </row>
    <row r="89" spans="1:19" ht="35.25" customHeight="1" thickBot="1" x14ac:dyDescent="0.3">
      <c r="A89" s="69" t="s">
        <v>333</v>
      </c>
      <c r="B89" s="11">
        <v>76</v>
      </c>
      <c r="C89" s="11" t="s">
        <v>334</v>
      </c>
      <c r="D89" s="41">
        <v>76</v>
      </c>
      <c r="E89" s="11">
        <v>76</v>
      </c>
      <c r="F89" s="85"/>
      <c r="G89" s="12"/>
      <c r="H89" s="29">
        <f t="shared" si="15"/>
        <v>0</v>
      </c>
      <c r="I89" s="81"/>
      <c r="J89" s="57"/>
      <c r="K89" s="79">
        <f t="shared" si="16"/>
        <v>0</v>
      </c>
      <c r="L89" s="11"/>
      <c r="M89" s="49"/>
      <c r="N89" s="13"/>
      <c r="O89" s="85"/>
      <c r="P89" s="14"/>
      <c r="Q89" s="17">
        <f t="shared" si="9"/>
        <v>0</v>
      </c>
      <c r="R89" s="59"/>
      <c r="S89" s="31">
        <f t="shared" si="64"/>
        <v>0</v>
      </c>
    </row>
    <row r="90" spans="1:19" ht="35.25" customHeight="1" thickBot="1" x14ac:dyDescent="0.3">
      <c r="A90" s="69" t="s">
        <v>331</v>
      </c>
      <c r="B90" s="11">
        <v>171</v>
      </c>
      <c r="C90" s="11" t="s">
        <v>334</v>
      </c>
      <c r="D90" s="41">
        <v>171</v>
      </c>
      <c r="E90" s="11">
        <v>171</v>
      </c>
      <c r="F90" s="85"/>
      <c r="G90" s="12"/>
      <c r="H90" s="29">
        <f>B90-E90</f>
        <v>0</v>
      </c>
      <c r="I90" s="81"/>
      <c r="J90" s="57"/>
      <c r="K90" s="79">
        <f>(E90-D90)</f>
        <v>0</v>
      </c>
      <c r="L90" s="11">
        <v>150</v>
      </c>
      <c r="M90" s="49">
        <v>152</v>
      </c>
      <c r="N90" s="13">
        <v>152</v>
      </c>
      <c r="O90" s="85" t="s">
        <v>61</v>
      </c>
      <c r="P90" s="14"/>
      <c r="Q90" s="17">
        <f>L90-N90</f>
        <v>-2</v>
      </c>
      <c r="R90" s="59"/>
      <c r="S90" s="31">
        <f t="shared" si="64"/>
        <v>0</v>
      </c>
    </row>
    <row r="91" spans="1:19" ht="35.25" customHeight="1" thickBot="1" x14ac:dyDescent="0.3">
      <c r="A91" s="69" t="s">
        <v>227</v>
      </c>
      <c r="B91" s="11">
        <v>200</v>
      </c>
      <c r="C91" s="11" t="s">
        <v>334</v>
      </c>
      <c r="D91" s="41">
        <v>200</v>
      </c>
      <c r="E91" s="11">
        <v>200</v>
      </c>
      <c r="F91" s="85"/>
      <c r="G91" s="12"/>
      <c r="H91" s="29">
        <f>B91-E91</f>
        <v>0</v>
      </c>
      <c r="I91" s="81"/>
      <c r="J91" s="57"/>
      <c r="K91" s="79">
        <f>(E91-D91)</f>
        <v>0</v>
      </c>
      <c r="L91" s="11"/>
      <c r="M91" s="49"/>
      <c r="N91" s="13"/>
      <c r="O91" s="85"/>
      <c r="P91" s="14"/>
      <c r="Q91" s="17">
        <f>L91-N91</f>
        <v>0</v>
      </c>
      <c r="R91" s="59"/>
      <c r="S91" s="31">
        <f t="shared" si="64"/>
        <v>0</v>
      </c>
    </row>
    <row r="92" spans="1:19" ht="35.25" customHeight="1" thickBot="1" x14ac:dyDescent="0.3">
      <c r="A92" s="69" t="s">
        <v>335</v>
      </c>
      <c r="B92" s="11">
        <v>25</v>
      </c>
      <c r="C92" s="11" t="s">
        <v>334</v>
      </c>
      <c r="D92" s="41">
        <v>25</v>
      </c>
      <c r="E92" s="11">
        <v>25</v>
      </c>
      <c r="F92" s="85"/>
      <c r="G92" s="12"/>
      <c r="H92" s="29">
        <f>B92-E92</f>
        <v>0</v>
      </c>
      <c r="I92" s="81"/>
      <c r="J92" s="57"/>
      <c r="K92" s="79">
        <f>(E92-D92)</f>
        <v>0</v>
      </c>
      <c r="L92" s="11"/>
      <c r="M92" s="49"/>
      <c r="N92" s="13"/>
      <c r="O92" s="85"/>
      <c r="P92" s="14"/>
      <c r="Q92" s="17">
        <f>L92-N92</f>
        <v>0</v>
      </c>
      <c r="R92" s="59"/>
      <c r="S92" s="31">
        <f t="shared" si="64"/>
        <v>0</v>
      </c>
    </row>
    <row r="93" spans="1:19" ht="35.25" customHeight="1" thickBot="1" x14ac:dyDescent="0.3">
      <c r="A93" s="69" t="s">
        <v>332</v>
      </c>
      <c r="B93" s="11">
        <v>51</v>
      </c>
      <c r="C93" s="11" t="s">
        <v>334</v>
      </c>
      <c r="D93" s="41">
        <v>66</v>
      </c>
      <c r="E93" s="11">
        <v>66</v>
      </c>
      <c r="F93" s="85"/>
      <c r="G93" s="12"/>
      <c r="H93" s="29">
        <f t="shared" ref="H93" si="65">B93-E93</f>
        <v>-15</v>
      </c>
      <c r="I93" s="81"/>
      <c r="J93" s="57"/>
      <c r="K93" s="79">
        <f t="shared" ref="K93" si="66">(E93-D93)</f>
        <v>0</v>
      </c>
      <c r="L93" s="11"/>
      <c r="M93" s="49"/>
      <c r="N93" s="13"/>
      <c r="O93" s="85"/>
      <c r="P93" s="14"/>
      <c r="Q93" s="17">
        <f t="shared" ref="Q93" si="67">L93-N93</f>
        <v>0</v>
      </c>
      <c r="R93" s="59"/>
      <c r="S93" s="31">
        <f t="shared" ref="S93" si="68">(N93-M93)</f>
        <v>0</v>
      </c>
    </row>
    <row r="94" spans="1:19" ht="35.25" customHeight="1" thickBot="1" x14ac:dyDescent="0.3">
      <c r="A94" s="69" t="s">
        <v>329</v>
      </c>
      <c r="B94" s="11">
        <v>176</v>
      </c>
      <c r="C94" s="11" t="s">
        <v>114</v>
      </c>
      <c r="D94" s="41">
        <v>176</v>
      </c>
      <c r="E94" s="11">
        <v>176</v>
      </c>
      <c r="F94" s="85"/>
      <c r="G94" s="12"/>
      <c r="H94" s="29">
        <f t="shared" si="15"/>
        <v>0</v>
      </c>
      <c r="I94" s="81"/>
      <c r="J94" s="57"/>
      <c r="K94" s="79">
        <f t="shared" si="16"/>
        <v>0</v>
      </c>
      <c r="L94" s="11"/>
      <c r="M94" s="49"/>
      <c r="N94" s="13"/>
      <c r="O94" s="85"/>
      <c r="P94" s="14"/>
      <c r="Q94" s="17">
        <f t="shared" si="9"/>
        <v>0</v>
      </c>
      <c r="R94" s="59"/>
      <c r="S94" s="31">
        <f t="shared" ref="S94:S101" si="69">(N94-M94)</f>
        <v>0</v>
      </c>
    </row>
    <row r="95" spans="1:19" ht="35.25" customHeight="1" thickBot="1" x14ac:dyDescent="0.3">
      <c r="A95" s="69" t="s">
        <v>328</v>
      </c>
      <c r="B95" s="11">
        <v>100</v>
      </c>
      <c r="C95" s="11" t="s">
        <v>327</v>
      </c>
      <c r="D95" s="41">
        <v>100</v>
      </c>
      <c r="E95" s="11">
        <v>100</v>
      </c>
      <c r="F95" s="85"/>
      <c r="G95" s="12"/>
      <c r="H95" s="29">
        <f t="shared" si="15"/>
        <v>0</v>
      </c>
      <c r="I95" s="81"/>
      <c r="J95" s="57"/>
      <c r="K95" s="79">
        <f t="shared" si="16"/>
        <v>0</v>
      </c>
      <c r="L95" s="11"/>
      <c r="M95" s="49"/>
      <c r="N95" s="13"/>
      <c r="O95" s="85"/>
      <c r="P95" s="14"/>
      <c r="Q95" s="17">
        <f t="shared" si="9"/>
        <v>0</v>
      </c>
      <c r="R95" s="59"/>
      <c r="S95" s="31">
        <f t="shared" si="69"/>
        <v>0</v>
      </c>
    </row>
    <row r="96" spans="1:19" ht="35.25" customHeight="1" thickBot="1" x14ac:dyDescent="0.3">
      <c r="A96" s="69" t="s">
        <v>326</v>
      </c>
      <c r="B96" s="11">
        <v>61</v>
      </c>
      <c r="C96" s="11" t="s">
        <v>327</v>
      </c>
      <c r="D96" s="41">
        <v>61</v>
      </c>
      <c r="E96" s="11">
        <v>61</v>
      </c>
      <c r="F96" s="85"/>
      <c r="G96" s="12"/>
      <c r="H96" s="29">
        <f t="shared" si="15"/>
        <v>0</v>
      </c>
      <c r="I96" s="81"/>
      <c r="J96" s="57"/>
      <c r="K96" s="79">
        <f t="shared" si="16"/>
        <v>0</v>
      </c>
      <c r="L96" s="11"/>
      <c r="M96" s="49"/>
      <c r="N96" s="13"/>
      <c r="O96" s="85"/>
      <c r="P96" s="14"/>
      <c r="Q96" s="17">
        <f t="shared" si="9"/>
        <v>0</v>
      </c>
      <c r="R96" s="59"/>
      <c r="S96" s="31">
        <f t="shared" si="69"/>
        <v>0</v>
      </c>
    </row>
    <row r="97" spans="1:19" ht="35.25" customHeight="1" thickBot="1" x14ac:dyDescent="0.3">
      <c r="A97" s="69" t="s">
        <v>323</v>
      </c>
      <c r="B97" s="11">
        <v>24</v>
      </c>
      <c r="C97" s="11" t="s">
        <v>324</v>
      </c>
      <c r="D97" s="41">
        <v>24</v>
      </c>
      <c r="E97" s="11">
        <v>24</v>
      </c>
      <c r="F97" s="85"/>
      <c r="G97" s="12"/>
      <c r="H97" s="29">
        <f t="shared" si="15"/>
        <v>0</v>
      </c>
      <c r="I97" s="81"/>
      <c r="J97" s="57"/>
      <c r="K97" s="79">
        <f t="shared" si="16"/>
        <v>0</v>
      </c>
      <c r="L97" s="11">
        <v>1</v>
      </c>
      <c r="M97" s="49">
        <v>1</v>
      </c>
      <c r="N97" s="13">
        <v>1</v>
      </c>
      <c r="O97" s="85" t="s">
        <v>28</v>
      </c>
      <c r="P97" s="14"/>
      <c r="Q97" s="17">
        <f t="shared" si="9"/>
        <v>0</v>
      </c>
      <c r="R97" s="59"/>
      <c r="S97" s="31">
        <f t="shared" si="69"/>
        <v>0</v>
      </c>
    </row>
    <row r="98" spans="1:19" ht="35.25" customHeight="1" thickBot="1" x14ac:dyDescent="0.3">
      <c r="A98" s="69" t="s">
        <v>64</v>
      </c>
      <c r="B98" s="11">
        <v>150</v>
      </c>
      <c r="C98" s="11" t="s">
        <v>322</v>
      </c>
      <c r="D98" s="41">
        <v>150</v>
      </c>
      <c r="E98" s="11">
        <v>150</v>
      </c>
      <c r="F98" s="85"/>
      <c r="G98" s="12"/>
      <c r="H98" s="29">
        <f t="shared" si="15"/>
        <v>0</v>
      </c>
      <c r="I98" s="81"/>
      <c r="J98" s="57"/>
      <c r="K98" s="79">
        <f t="shared" si="16"/>
        <v>0</v>
      </c>
      <c r="L98" s="11"/>
      <c r="M98" s="49"/>
      <c r="N98" s="13"/>
      <c r="O98" s="85"/>
      <c r="P98" s="14"/>
      <c r="Q98" s="17">
        <f t="shared" si="9"/>
        <v>0</v>
      </c>
      <c r="R98" s="59"/>
      <c r="S98" s="31">
        <f t="shared" si="69"/>
        <v>0</v>
      </c>
    </row>
    <row r="99" spans="1:19" ht="35.25" customHeight="1" thickBot="1" x14ac:dyDescent="0.3">
      <c r="A99" s="69" t="s">
        <v>241</v>
      </c>
      <c r="B99" s="11">
        <v>150</v>
      </c>
      <c r="C99" s="11" t="s">
        <v>322</v>
      </c>
      <c r="D99" s="41">
        <v>150</v>
      </c>
      <c r="E99" s="11">
        <v>150</v>
      </c>
      <c r="F99" s="85"/>
      <c r="G99" s="12"/>
      <c r="H99" s="29">
        <f t="shared" si="15"/>
        <v>0</v>
      </c>
      <c r="I99" s="81"/>
      <c r="J99" s="57"/>
      <c r="K99" s="79">
        <f t="shared" si="16"/>
        <v>0</v>
      </c>
      <c r="L99" s="11"/>
      <c r="M99" s="49"/>
      <c r="N99" s="13"/>
      <c r="O99" s="85"/>
      <c r="P99" s="14"/>
      <c r="Q99" s="17">
        <f t="shared" si="9"/>
        <v>0</v>
      </c>
      <c r="R99" s="59"/>
      <c r="S99" s="31">
        <f t="shared" si="69"/>
        <v>0</v>
      </c>
    </row>
    <row r="100" spans="1:19" ht="35.25" customHeight="1" thickBot="1" x14ac:dyDescent="0.3">
      <c r="A100" s="69" t="s">
        <v>81</v>
      </c>
      <c r="B100" s="11">
        <v>484</v>
      </c>
      <c r="C100" s="11"/>
      <c r="D100" s="41">
        <v>484</v>
      </c>
      <c r="E100" s="11">
        <v>484</v>
      </c>
      <c r="F100" s="85"/>
      <c r="G100" s="12"/>
      <c r="H100" s="29">
        <f>B100-E100</f>
        <v>0</v>
      </c>
      <c r="I100" s="81"/>
      <c r="J100" s="57"/>
      <c r="K100" s="79">
        <f>(E100-D100)</f>
        <v>0</v>
      </c>
      <c r="L100" s="11"/>
      <c r="M100" s="49"/>
      <c r="N100" s="13"/>
      <c r="O100" s="85"/>
      <c r="P100" s="14"/>
      <c r="Q100" s="17">
        <f>L100-N100</f>
        <v>0</v>
      </c>
      <c r="R100" s="59"/>
      <c r="S100" s="31">
        <f t="shared" si="69"/>
        <v>0</v>
      </c>
    </row>
    <row r="101" spans="1:19" ht="35.25" customHeight="1" thickBot="1" x14ac:dyDescent="0.3">
      <c r="A101" s="69" t="s">
        <v>4</v>
      </c>
      <c r="B101" s="11">
        <v>370</v>
      </c>
      <c r="C101" s="11" t="s">
        <v>317</v>
      </c>
      <c r="D101" s="41">
        <v>370</v>
      </c>
      <c r="E101" s="11">
        <v>370</v>
      </c>
      <c r="F101" s="85"/>
      <c r="G101" s="12"/>
      <c r="H101" s="29">
        <f>B101-E101</f>
        <v>0</v>
      </c>
      <c r="I101" s="81"/>
      <c r="J101" s="57"/>
      <c r="K101" s="79">
        <f>(E101-D101)</f>
        <v>0</v>
      </c>
      <c r="L101" s="11">
        <v>170</v>
      </c>
      <c r="M101" s="49">
        <v>170</v>
      </c>
      <c r="N101" s="13">
        <v>170</v>
      </c>
      <c r="O101" s="85" t="s">
        <v>28</v>
      </c>
      <c r="P101" s="14"/>
      <c r="Q101" s="17">
        <f>L101-N101</f>
        <v>0</v>
      </c>
      <c r="R101" s="59"/>
      <c r="S101" s="31">
        <f t="shared" si="69"/>
        <v>0</v>
      </c>
    </row>
    <row r="102" spans="1:19" ht="35.25" customHeight="1" thickBot="1" x14ac:dyDescent="0.3">
      <c r="A102" s="69" t="s">
        <v>279</v>
      </c>
      <c r="B102" s="11"/>
      <c r="C102" s="11"/>
      <c r="D102" s="41"/>
      <c r="E102" s="11"/>
      <c r="F102" s="85"/>
      <c r="G102" s="12"/>
      <c r="H102" s="29">
        <f t="shared" ref="H102:H113" si="70">B102-E102</f>
        <v>0</v>
      </c>
      <c r="I102" s="81"/>
      <c r="J102" s="57"/>
      <c r="K102" s="79">
        <f t="shared" ref="K102:K113" si="71">(E102-D102)</f>
        <v>0</v>
      </c>
      <c r="L102" s="11">
        <v>100</v>
      </c>
      <c r="M102" s="49">
        <v>100</v>
      </c>
      <c r="N102" s="13">
        <v>100</v>
      </c>
      <c r="O102" s="85" t="s">
        <v>28</v>
      </c>
      <c r="P102" s="14"/>
      <c r="Q102" s="17">
        <f t="shared" ref="Q102:Q113" si="72">L102-N102</f>
        <v>0</v>
      </c>
      <c r="R102" s="59"/>
      <c r="S102" s="31">
        <f t="shared" ref="S102:S113" si="73">(N102-M102)</f>
        <v>0</v>
      </c>
    </row>
    <row r="103" spans="1:19" ht="35.25" customHeight="1" thickBot="1" x14ac:dyDescent="0.3">
      <c r="A103" s="69" t="s">
        <v>320</v>
      </c>
      <c r="B103" s="11"/>
      <c r="C103" s="11"/>
      <c r="D103" s="41"/>
      <c r="E103" s="11"/>
      <c r="F103" s="85"/>
      <c r="G103" s="12"/>
      <c r="H103" s="29">
        <f t="shared" si="70"/>
        <v>0</v>
      </c>
      <c r="I103" s="81"/>
      <c r="J103" s="57"/>
      <c r="K103" s="79">
        <f t="shared" si="71"/>
        <v>0</v>
      </c>
      <c r="L103" s="11">
        <v>1</v>
      </c>
      <c r="M103" s="49">
        <v>1</v>
      </c>
      <c r="N103" s="13">
        <v>1</v>
      </c>
      <c r="O103" s="85" t="s">
        <v>28</v>
      </c>
      <c r="P103" s="14"/>
      <c r="Q103" s="17">
        <f t="shared" si="72"/>
        <v>0</v>
      </c>
      <c r="R103" s="59"/>
      <c r="S103" s="31">
        <f t="shared" si="73"/>
        <v>0</v>
      </c>
    </row>
    <row r="104" spans="1:19" ht="35.25" customHeight="1" thickBot="1" x14ac:dyDescent="0.3">
      <c r="A104" s="69" t="s">
        <v>51</v>
      </c>
      <c r="B104" s="11">
        <v>224</v>
      </c>
      <c r="C104" s="11"/>
      <c r="D104" s="41">
        <v>224</v>
      </c>
      <c r="E104" s="11">
        <v>224</v>
      </c>
      <c r="F104" s="85"/>
      <c r="G104" s="12"/>
      <c r="H104" s="29">
        <f>B104-E104</f>
        <v>0</v>
      </c>
      <c r="I104" s="81"/>
      <c r="J104" s="57"/>
      <c r="K104" s="79">
        <f>(E104-D104)</f>
        <v>0</v>
      </c>
      <c r="L104" s="11">
        <v>200</v>
      </c>
      <c r="M104" s="49">
        <v>200</v>
      </c>
      <c r="N104" s="13">
        <v>200</v>
      </c>
      <c r="O104" s="85" t="s">
        <v>61</v>
      </c>
      <c r="P104" s="14"/>
      <c r="Q104" s="17">
        <f>L104-N104</f>
        <v>0</v>
      </c>
      <c r="R104" s="59"/>
      <c r="S104" s="31">
        <f>(N104-M104)</f>
        <v>0</v>
      </c>
    </row>
    <row r="105" spans="1:19" ht="35.25" customHeight="1" thickBot="1" x14ac:dyDescent="0.3">
      <c r="A105" s="69" t="s">
        <v>308</v>
      </c>
      <c r="B105" s="11"/>
      <c r="C105" s="11" t="s">
        <v>69</v>
      </c>
      <c r="D105" s="41"/>
      <c r="E105" s="11"/>
      <c r="F105" s="85"/>
      <c r="G105" s="12"/>
      <c r="H105" s="29">
        <f>B105-E105</f>
        <v>0</v>
      </c>
      <c r="I105" s="81"/>
      <c r="J105" s="57"/>
      <c r="K105" s="79">
        <f>(E105-D105)</f>
        <v>0</v>
      </c>
      <c r="L105" s="11">
        <v>12</v>
      </c>
      <c r="M105" s="49">
        <v>12</v>
      </c>
      <c r="N105" s="13">
        <v>12</v>
      </c>
      <c r="O105" s="85" t="s">
        <v>28</v>
      </c>
      <c r="P105" s="14"/>
      <c r="Q105" s="17">
        <f>L105-N105</f>
        <v>0</v>
      </c>
      <c r="R105" s="59"/>
      <c r="S105" s="31">
        <f>(N105-M105)</f>
        <v>0</v>
      </c>
    </row>
    <row r="106" spans="1:19" ht="35.25" customHeight="1" thickBot="1" x14ac:dyDescent="0.3">
      <c r="A106" s="69" t="s">
        <v>308</v>
      </c>
      <c r="B106" s="11">
        <v>296</v>
      </c>
      <c r="C106" s="11" t="s">
        <v>69</v>
      </c>
      <c r="D106" s="41">
        <v>296</v>
      </c>
      <c r="E106" s="11">
        <v>296</v>
      </c>
      <c r="F106" s="85"/>
      <c r="G106" s="12"/>
      <c r="H106" s="29">
        <f t="shared" ref="H106" si="74">B106-E106</f>
        <v>0</v>
      </c>
      <c r="I106" s="81"/>
      <c r="J106" s="57"/>
      <c r="K106" s="79">
        <f t="shared" ref="K106" si="75">(E106-D106)</f>
        <v>0</v>
      </c>
      <c r="L106" s="11">
        <v>48</v>
      </c>
      <c r="M106" s="49">
        <v>48</v>
      </c>
      <c r="N106" s="13">
        <v>48</v>
      </c>
      <c r="O106" s="85"/>
      <c r="P106" s="14"/>
      <c r="Q106" s="17">
        <f t="shared" ref="Q106" si="76">L106-N106</f>
        <v>0</v>
      </c>
      <c r="R106" s="59"/>
      <c r="S106" s="31">
        <f t="shared" ref="S106" si="77">(N106-M106)</f>
        <v>0</v>
      </c>
    </row>
    <row r="107" spans="1:19" ht="35.25" customHeight="1" thickBot="1" x14ac:dyDescent="0.3">
      <c r="A107" s="69" t="s">
        <v>300</v>
      </c>
      <c r="B107" s="11"/>
      <c r="C107" s="11"/>
      <c r="D107" s="41"/>
      <c r="E107" s="11"/>
      <c r="F107" s="85"/>
      <c r="G107" s="12"/>
      <c r="H107" s="29">
        <f>B107-E107</f>
        <v>0</v>
      </c>
      <c r="I107" s="81"/>
      <c r="J107" s="57"/>
      <c r="K107" s="79">
        <f>(E107-D107)</f>
        <v>0</v>
      </c>
      <c r="L107" s="11">
        <v>1</v>
      </c>
      <c r="M107" s="49">
        <v>1</v>
      </c>
      <c r="N107" s="13">
        <v>1</v>
      </c>
      <c r="O107" s="85" t="s">
        <v>28</v>
      </c>
      <c r="P107" s="14">
        <v>1</v>
      </c>
      <c r="Q107" s="17">
        <f>L107-N107</f>
        <v>0</v>
      </c>
      <c r="R107" s="59"/>
      <c r="S107" s="31">
        <f>(N107-M107)</f>
        <v>0</v>
      </c>
    </row>
    <row r="108" spans="1:19" ht="35.25" customHeight="1" thickBot="1" x14ac:dyDescent="0.3">
      <c r="A108" s="69" t="s">
        <v>321</v>
      </c>
      <c r="B108" s="11"/>
      <c r="C108" s="11"/>
      <c r="D108" s="41"/>
      <c r="E108" s="11"/>
      <c r="F108" s="85"/>
      <c r="G108" s="12"/>
      <c r="H108" s="29">
        <f t="shared" si="70"/>
        <v>0</v>
      </c>
      <c r="I108" s="81"/>
      <c r="J108" s="57"/>
      <c r="K108" s="79">
        <f t="shared" si="71"/>
        <v>0</v>
      </c>
      <c r="L108" s="11">
        <v>2</v>
      </c>
      <c r="M108" s="49">
        <v>2</v>
      </c>
      <c r="N108" s="13">
        <v>2</v>
      </c>
      <c r="O108" s="85" t="s">
        <v>28</v>
      </c>
      <c r="P108" s="14">
        <v>2</v>
      </c>
      <c r="Q108" s="17">
        <f t="shared" si="72"/>
        <v>0</v>
      </c>
      <c r="R108" s="59"/>
      <c r="S108" s="31">
        <f t="shared" si="73"/>
        <v>0</v>
      </c>
    </row>
    <row r="109" spans="1:19" ht="35.25" customHeight="1" thickBot="1" x14ac:dyDescent="0.3">
      <c r="A109" s="69" t="s">
        <v>191</v>
      </c>
      <c r="B109" s="11">
        <v>2</v>
      </c>
      <c r="C109" s="11"/>
      <c r="D109" s="41"/>
      <c r="E109" s="11"/>
      <c r="F109" s="85"/>
      <c r="G109" s="12"/>
      <c r="H109" s="29">
        <f t="shared" si="70"/>
        <v>2</v>
      </c>
      <c r="I109" s="81"/>
      <c r="J109" s="57"/>
      <c r="K109" s="79">
        <f t="shared" si="71"/>
        <v>0</v>
      </c>
      <c r="L109" s="11">
        <v>1</v>
      </c>
      <c r="M109" s="49">
        <v>1</v>
      </c>
      <c r="N109" s="13">
        <v>1</v>
      </c>
      <c r="O109" s="85" t="s">
        <v>28</v>
      </c>
      <c r="P109" s="14">
        <v>1</v>
      </c>
      <c r="Q109" s="17">
        <f t="shared" si="72"/>
        <v>0</v>
      </c>
      <c r="R109" s="59"/>
      <c r="S109" s="31">
        <f t="shared" si="73"/>
        <v>0</v>
      </c>
    </row>
    <row r="110" spans="1:19" ht="35.25" customHeight="1" thickBot="1" x14ac:dyDescent="0.3">
      <c r="A110" s="69" t="s">
        <v>27</v>
      </c>
      <c r="B110" s="11"/>
      <c r="C110" s="11"/>
      <c r="D110" s="41"/>
      <c r="E110" s="11"/>
      <c r="F110" s="85"/>
      <c r="G110" s="12"/>
      <c r="H110" s="29">
        <f t="shared" si="70"/>
        <v>0</v>
      </c>
      <c r="I110" s="81"/>
      <c r="J110" s="57"/>
      <c r="K110" s="79">
        <f t="shared" si="71"/>
        <v>0</v>
      </c>
      <c r="L110" s="11">
        <v>1</v>
      </c>
      <c r="M110" s="49">
        <v>1</v>
      </c>
      <c r="N110" s="13">
        <v>1</v>
      </c>
      <c r="O110" s="85" t="s">
        <v>28</v>
      </c>
      <c r="P110" s="14">
        <v>1</v>
      </c>
      <c r="Q110" s="17">
        <f t="shared" si="72"/>
        <v>0</v>
      </c>
      <c r="R110" s="59"/>
      <c r="S110" s="31">
        <f t="shared" si="73"/>
        <v>0</v>
      </c>
    </row>
    <row r="111" spans="1:19" ht="35.25" customHeight="1" thickBot="1" x14ac:dyDescent="0.3">
      <c r="A111" s="69" t="s">
        <v>236</v>
      </c>
      <c r="B111" s="11">
        <v>1</v>
      </c>
      <c r="C111" s="11"/>
      <c r="D111" s="41"/>
      <c r="E111" s="11"/>
      <c r="F111" s="85"/>
      <c r="G111" s="12"/>
      <c r="H111" s="29">
        <f t="shared" si="70"/>
        <v>1</v>
      </c>
      <c r="I111" s="81"/>
      <c r="J111" s="57"/>
      <c r="K111" s="79">
        <f t="shared" si="71"/>
        <v>0</v>
      </c>
      <c r="L111" s="11"/>
      <c r="M111" s="49"/>
      <c r="N111" s="13"/>
      <c r="O111" s="85"/>
      <c r="P111" s="14"/>
      <c r="Q111" s="17">
        <f t="shared" si="72"/>
        <v>0</v>
      </c>
      <c r="R111" s="59"/>
      <c r="S111" s="31">
        <f t="shared" si="73"/>
        <v>0</v>
      </c>
    </row>
    <row r="112" spans="1:19" ht="35.25" customHeight="1" thickBot="1" x14ac:dyDescent="0.3">
      <c r="A112" s="69" t="s">
        <v>168</v>
      </c>
      <c r="B112" s="11"/>
      <c r="C112" s="11"/>
      <c r="D112" s="41"/>
      <c r="E112" s="11"/>
      <c r="F112" s="85"/>
      <c r="G112" s="12"/>
      <c r="H112" s="29">
        <f t="shared" si="70"/>
        <v>0</v>
      </c>
      <c r="I112" s="81"/>
      <c r="J112" s="57" t="s">
        <v>319</v>
      </c>
      <c r="K112" s="79">
        <f t="shared" si="71"/>
        <v>0</v>
      </c>
      <c r="L112" s="11">
        <v>1</v>
      </c>
      <c r="M112" s="49">
        <v>1</v>
      </c>
      <c r="N112" s="13">
        <v>1</v>
      </c>
      <c r="O112" s="85" t="s">
        <v>28</v>
      </c>
      <c r="P112" s="14">
        <v>1</v>
      </c>
      <c r="Q112" s="17">
        <f t="shared" si="72"/>
        <v>0</v>
      </c>
      <c r="R112" s="59"/>
      <c r="S112" s="31">
        <f t="shared" si="73"/>
        <v>0</v>
      </c>
    </row>
    <row r="113" spans="1:19" ht="35.25" customHeight="1" thickBot="1" x14ac:dyDescent="0.3">
      <c r="A113" s="69" t="s">
        <v>205</v>
      </c>
      <c r="B113" s="11">
        <v>100</v>
      </c>
      <c r="C113" s="11"/>
      <c r="D113" s="41">
        <v>100</v>
      </c>
      <c r="E113" s="11">
        <v>100</v>
      </c>
      <c r="F113" s="85"/>
      <c r="G113" s="12"/>
      <c r="H113" s="29">
        <f t="shared" si="70"/>
        <v>0</v>
      </c>
      <c r="I113" s="81"/>
      <c r="J113" s="57"/>
      <c r="K113" s="79">
        <f t="shared" si="71"/>
        <v>0</v>
      </c>
      <c r="L113" s="11"/>
      <c r="M113" s="49"/>
      <c r="N113" s="13"/>
      <c r="O113" s="85"/>
      <c r="P113" s="14"/>
      <c r="Q113" s="17">
        <f t="shared" si="72"/>
        <v>0</v>
      </c>
      <c r="R113" s="59"/>
      <c r="S113" s="31">
        <f t="shared" si="73"/>
        <v>0</v>
      </c>
    </row>
    <row r="114" spans="1:19" ht="35.25" customHeight="1" thickBot="1" x14ac:dyDescent="0.3">
      <c r="A114" s="69" t="s">
        <v>215</v>
      </c>
      <c r="B114" s="11">
        <v>12</v>
      </c>
      <c r="C114" s="11" t="s">
        <v>318</v>
      </c>
      <c r="D114" s="41">
        <v>12</v>
      </c>
      <c r="E114" s="11">
        <v>12</v>
      </c>
      <c r="F114" s="85"/>
      <c r="G114" s="12"/>
      <c r="H114" s="29">
        <f t="shared" si="15"/>
        <v>0</v>
      </c>
      <c r="I114" s="81"/>
      <c r="J114" s="57"/>
      <c r="K114" s="79">
        <f t="shared" si="16"/>
        <v>0</v>
      </c>
      <c r="L114" s="11"/>
      <c r="M114" s="49"/>
      <c r="N114" s="13"/>
      <c r="O114" s="85"/>
      <c r="P114" s="14"/>
      <c r="Q114" s="17">
        <f t="shared" si="9"/>
        <v>0</v>
      </c>
      <c r="R114" s="59"/>
      <c r="S114" s="31">
        <f>(N114-M114)</f>
        <v>0</v>
      </c>
    </row>
    <row r="115" spans="1:19" ht="34.5" customHeight="1" thickBot="1" x14ac:dyDescent="0.3">
      <c r="A115" s="69" t="s">
        <v>168</v>
      </c>
      <c r="B115" s="11">
        <v>0</v>
      </c>
      <c r="C115" s="11" t="s">
        <v>317</v>
      </c>
      <c r="D115" s="41"/>
      <c r="E115" s="11"/>
      <c r="F115" s="85"/>
      <c r="G115" s="12"/>
      <c r="H115" s="29">
        <f t="shared" si="15"/>
        <v>0</v>
      </c>
      <c r="I115" s="81"/>
      <c r="J115" s="57"/>
      <c r="K115" s="79">
        <f t="shared" si="16"/>
        <v>0</v>
      </c>
      <c r="L115" s="11">
        <v>24</v>
      </c>
      <c r="M115" s="49">
        <v>24</v>
      </c>
      <c r="N115" s="13">
        <v>24</v>
      </c>
      <c r="O115" s="85" t="s">
        <v>28</v>
      </c>
      <c r="P115" s="14"/>
      <c r="Q115" s="17">
        <f t="shared" si="9"/>
        <v>0</v>
      </c>
      <c r="R115" s="59"/>
      <c r="S115" s="31">
        <f>(N115-M115)</f>
        <v>0</v>
      </c>
    </row>
    <row r="116" spans="1:19" ht="35.25" customHeight="1" thickBot="1" x14ac:dyDescent="0.3">
      <c r="A116" s="69" t="s">
        <v>314</v>
      </c>
      <c r="B116" s="11">
        <v>424</v>
      </c>
      <c r="C116" s="11" t="s">
        <v>315</v>
      </c>
      <c r="D116" s="41">
        <v>424</v>
      </c>
      <c r="E116" s="11">
        <v>424</v>
      </c>
      <c r="F116" s="85"/>
      <c r="G116" s="12"/>
      <c r="H116" s="29">
        <f t="shared" si="15"/>
        <v>0</v>
      </c>
      <c r="I116" s="81"/>
      <c r="J116" s="57"/>
      <c r="K116" s="79">
        <f t="shared" si="16"/>
        <v>0</v>
      </c>
      <c r="L116" s="11"/>
      <c r="M116" s="49"/>
      <c r="N116" s="13"/>
      <c r="O116" s="85"/>
      <c r="P116" s="14"/>
      <c r="Q116" s="17">
        <f t="shared" si="9"/>
        <v>0</v>
      </c>
      <c r="R116" s="59"/>
      <c r="S116" s="31">
        <f>(N116-M116)</f>
        <v>0</v>
      </c>
    </row>
    <row r="117" spans="1:19" ht="35.25" customHeight="1" thickBot="1" x14ac:dyDescent="0.3">
      <c r="A117" s="69" t="s">
        <v>313</v>
      </c>
      <c r="B117" s="11"/>
      <c r="C117" s="11" t="s">
        <v>79</v>
      </c>
      <c r="D117" s="41"/>
      <c r="E117" s="11"/>
      <c r="F117" s="85"/>
      <c r="G117" s="12"/>
      <c r="H117" s="29">
        <f t="shared" si="15"/>
        <v>0</v>
      </c>
      <c r="I117" s="81"/>
      <c r="J117" s="57"/>
      <c r="K117" s="79">
        <f t="shared" si="16"/>
        <v>0</v>
      </c>
      <c r="L117" s="11">
        <v>15</v>
      </c>
      <c r="M117" s="49">
        <v>15</v>
      </c>
      <c r="N117" s="13">
        <v>15</v>
      </c>
      <c r="O117" s="85" t="s">
        <v>28</v>
      </c>
      <c r="P117" s="14"/>
      <c r="Q117" s="17">
        <f t="shared" si="9"/>
        <v>0</v>
      </c>
      <c r="R117" s="59"/>
      <c r="S117" s="31">
        <f>(N117-M117)</f>
        <v>0</v>
      </c>
    </row>
    <row r="118" spans="1:19" ht="35.25" customHeight="1" thickBot="1" x14ac:dyDescent="0.3">
      <c r="A118" s="69" t="s">
        <v>312</v>
      </c>
      <c r="B118" s="11">
        <v>100</v>
      </c>
      <c r="C118" s="11" t="s">
        <v>79</v>
      </c>
      <c r="D118" s="41">
        <v>100</v>
      </c>
      <c r="E118" s="11">
        <v>100</v>
      </c>
      <c r="F118" s="85"/>
      <c r="G118" s="12"/>
      <c r="H118" s="29">
        <f t="shared" si="15"/>
        <v>0</v>
      </c>
      <c r="I118" s="81"/>
      <c r="J118" s="57"/>
      <c r="K118" s="79">
        <f t="shared" si="16"/>
        <v>0</v>
      </c>
      <c r="L118" s="11"/>
      <c r="M118" s="49"/>
      <c r="N118" s="13"/>
      <c r="O118" s="85"/>
      <c r="P118" s="14"/>
      <c r="Q118" s="17">
        <f t="shared" si="9"/>
        <v>0</v>
      </c>
      <c r="R118" s="59"/>
      <c r="S118" s="31">
        <f>(N118-M118)</f>
        <v>0</v>
      </c>
    </row>
    <row r="119" spans="1:19" ht="35.25" customHeight="1" thickBot="1" x14ac:dyDescent="0.3">
      <c r="A119" s="69" t="s">
        <v>300</v>
      </c>
      <c r="B119" s="11"/>
      <c r="C119" s="11"/>
      <c r="D119" s="41"/>
      <c r="E119" s="11"/>
      <c r="F119" s="85"/>
      <c r="G119" s="12"/>
      <c r="H119" s="29">
        <f t="shared" ref="H119:H127" si="78">B119-E119</f>
        <v>0</v>
      </c>
      <c r="I119" s="81"/>
      <c r="J119" s="57" t="s">
        <v>319</v>
      </c>
      <c r="K119" s="79">
        <f t="shared" ref="K119:K127" si="79">(E119-D119)</f>
        <v>0</v>
      </c>
      <c r="L119" s="11">
        <v>80</v>
      </c>
      <c r="M119" s="49">
        <v>80</v>
      </c>
      <c r="N119" s="13">
        <v>80</v>
      </c>
      <c r="O119" s="85"/>
      <c r="P119" s="14"/>
      <c r="Q119" s="17">
        <f t="shared" ref="Q119:Q127" si="80">L119-N119</f>
        <v>0</v>
      </c>
      <c r="R119" s="59"/>
      <c r="S119" s="31">
        <f t="shared" ref="S119:S127" si="81">(N119-M119)</f>
        <v>0</v>
      </c>
    </row>
    <row r="120" spans="1:19" ht="35.25" customHeight="1" thickBot="1" x14ac:dyDescent="0.3">
      <c r="A120" s="69" t="s">
        <v>125</v>
      </c>
      <c r="B120" s="11">
        <v>1</v>
      </c>
      <c r="C120" s="11"/>
      <c r="D120" s="41">
        <v>1</v>
      </c>
      <c r="E120" s="11">
        <v>1</v>
      </c>
      <c r="F120" s="85"/>
      <c r="G120" s="12"/>
      <c r="H120" s="29">
        <f t="shared" si="78"/>
        <v>0</v>
      </c>
      <c r="I120" s="81"/>
      <c r="J120" s="57"/>
      <c r="K120" s="79">
        <f t="shared" si="79"/>
        <v>0</v>
      </c>
      <c r="L120" s="11"/>
      <c r="M120" s="49"/>
      <c r="N120" s="13"/>
      <c r="O120" s="85"/>
      <c r="P120" s="14"/>
      <c r="Q120" s="17">
        <f t="shared" si="80"/>
        <v>0</v>
      </c>
      <c r="R120" s="59"/>
      <c r="S120" s="31">
        <f t="shared" si="81"/>
        <v>0</v>
      </c>
    </row>
    <row r="121" spans="1:19" ht="35.25" customHeight="1" thickBot="1" x14ac:dyDescent="0.3">
      <c r="A121" s="69" t="s">
        <v>191</v>
      </c>
      <c r="B121" s="11">
        <v>8</v>
      </c>
      <c r="C121" s="11" t="s">
        <v>316</v>
      </c>
      <c r="D121" s="41">
        <v>8</v>
      </c>
      <c r="E121" s="11">
        <v>8</v>
      </c>
      <c r="F121" s="85"/>
      <c r="G121" s="12"/>
      <c r="H121" s="29">
        <f t="shared" si="78"/>
        <v>0</v>
      </c>
      <c r="I121" s="81"/>
      <c r="J121" s="57"/>
      <c r="K121" s="79">
        <f t="shared" si="79"/>
        <v>0</v>
      </c>
      <c r="L121" s="11"/>
      <c r="M121" s="49"/>
      <c r="N121" s="13"/>
      <c r="O121" s="85"/>
      <c r="P121" s="14"/>
      <c r="Q121" s="17">
        <f t="shared" si="80"/>
        <v>0</v>
      </c>
      <c r="R121" s="59"/>
      <c r="S121" s="31">
        <f t="shared" si="81"/>
        <v>0</v>
      </c>
    </row>
    <row r="122" spans="1:19" ht="35.25" customHeight="1" thickBot="1" x14ac:dyDescent="0.3">
      <c r="A122" s="69" t="s">
        <v>310</v>
      </c>
      <c r="B122" s="11"/>
      <c r="C122" s="11" t="s">
        <v>311</v>
      </c>
      <c r="D122" s="41"/>
      <c r="E122" s="11"/>
      <c r="F122" s="85"/>
      <c r="G122" s="12"/>
      <c r="H122" s="29">
        <f t="shared" si="78"/>
        <v>0</v>
      </c>
      <c r="I122" s="81"/>
      <c r="J122" s="57"/>
      <c r="K122" s="79">
        <f t="shared" si="79"/>
        <v>0</v>
      </c>
      <c r="L122" s="11">
        <v>20</v>
      </c>
      <c r="M122" s="49">
        <v>20</v>
      </c>
      <c r="N122" s="13">
        <v>20</v>
      </c>
      <c r="O122" s="85" t="s">
        <v>28</v>
      </c>
      <c r="P122" s="14"/>
      <c r="Q122" s="17">
        <f t="shared" si="80"/>
        <v>0</v>
      </c>
      <c r="R122" s="59"/>
      <c r="S122" s="31">
        <f t="shared" si="81"/>
        <v>0</v>
      </c>
    </row>
    <row r="123" spans="1:19" ht="35.25" customHeight="1" thickBot="1" x14ac:dyDescent="0.3">
      <c r="A123" s="69" t="s">
        <v>304</v>
      </c>
      <c r="B123" s="11">
        <v>49</v>
      </c>
      <c r="C123" s="11" t="s">
        <v>307</v>
      </c>
      <c r="D123" s="41">
        <v>49</v>
      </c>
      <c r="E123" s="11">
        <v>49</v>
      </c>
      <c r="F123" s="85"/>
      <c r="G123" s="12"/>
      <c r="H123" s="29">
        <f t="shared" si="78"/>
        <v>0</v>
      </c>
      <c r="I123" s="81"/>
      <c r="J123" s="57">
        <v>1</v>
      </c>
      <c r="K123" s="79">
        <f t="shared" si="79"/>
        <v>0</v>
      </c>
      <c r="L123" s="11"/>
      <c r="M123" s="49"/>
      <c r="N123" s="13"/>
      <c r="O123" s="85"/>
      <c r="P123" s="14"/>
      <c r="Q123" s="17">
        <f t="shared" si="80"/>
        <v>0</v>
      </c>
      <c r="R123" s="59"/>
      <c r="S123" s="31">
        <f t="shared" si="81"/>
        <v>0</v>
      </c>
    </row>
    <row r="124" spans="1:19" ht="35.25" customHeight="1" thickBot="1" x14ac:dyDescent="0.3">
      <c r="A124" s="69" t="s">
        <v>309</v>
      </c>
      <c r="B124" s="11">
        <v>201</v>
      </c>
      <c r="C124" s="11" t="s">
        <v>306</v>
      </c>
      <c r="D124" s="41">
        <v>201</v>
      </c>
      <c r="E124" s="11">
        <v>201</v>
      </c>
      <c r="F124" s="85"/>
      <c r="G124" s="12"/>
      <c r="H124" s="29">
        <f t="shared" si="78"/>
        <v>0</v>
      </c>
      <c r="I124" s="81"/>
      <c r="J124" s="57">
        <v>1</v>
      </c>
      <c r="K124" s="79">
        <f t="shared" si="79"/>
        <v>0</v>
      </c>
      <c r="L124" s="11"/>
      <c r="M124" s="49"/>
      <c r="N124" s="13"/>
      <c r="O124" s="85"/>
      <c r="P124" s="14"/>
      <c r="Q124" s="17">
        <f t="shared" si="80"/>
        <v>0</v>
      </c>
      <c r="R124" s="59"/>
      <c r="S124" s="31">
        <f t="shared" si="81"/>
        <v>0</v>
      </c>
    </row>
    <row r="125" spans="1:19" ht="35.25" customHeight="1" thickBot="1" x14ac:dyDescent="0.3">
      <c r="A125" s="69" t="s">
        <v>247</v>
      </c>
      <c r="B125" s="11">
        <v>20</v>
      </c>
      <c r="C125" s="11" t="s">
        <v>305</v>
      </c>
      <c r="D125" s="41">
        <v>20</v>
      </c>
      <c r="E125" s="11">
        <v>20</v>
      </c>
      <c r="F125" s="85"/>
      <c r="G125" s="12"/>
      <c r="H125" s="29">
        <f t="shared" si="78"/>
        <v>0</v>
      </c>
      <c r="I125" s="81"/>
      <c r="J125" s="57"/>
      <c r="K125" s="79">
        <f t="shared" si="79"/>
        <v>0</v>
      </c>
      <c r="L125" s="11"/>
      <c r="M125" s="49"/>
      <c r="N125" s="13"/>
      <c r="O125" s="85"/>
      <c r="P125" s="14"/>
      <c r="Q125" s="17">
        <f t="shared" si="80"/>
        <v>0</v>
      </c>
      <c r="R125" s="59"/>
      <c r="S125" s="31">
        <f t="shared" si="81"/>
        <v>0</v>
      </c>
    </row>
    <row r="126" spans="1:19" ht="35.25" customHeight="1" thickBot="1" x14ac:dyDescent="0.3">
      <c r="A126" s="69" t="s">
        <v>161</v>
      </c>
      <c r="B126" s="11">
        <v>1</v>
      </c>
      <c r="C126" s="11"/>
      <c r="D126" s="41">
        <v>1</v>
      </c>
      <c r="E126" s="11">
        <v>1</v>
      </c>
      <c r="F126" s="85"/>
      <c r="G126" s="12"/>
      <c r="H126" s="29">
        <f t="shared" si="78"/>
        <v>0</v>
      </c>
      <c r="I126" s="81"/>
      <c r="J126" s="57"/>
      <c r="K126" s="79">
        <f t="shared" si="79"/>
        <v>0</v>
      </c>
      <c r="L126" s="11"/>
      <c r="M126" s="49"/>
      <c r="N126" s="13"/>
      <c r="O126" s="85"/>
      <c r="P126" s="14"/>
      <c r="Q126" s="17">
        <f t="shared" si="80"/>
        <v>0</v>
      </c>
      <c r="R126" s="59"/>
      <c r="S126" s="31">
        <f t="shared" si="81"/>
        <v>0</v>
      </c>
    </row>
    <row r="127" spans="1:19" ht="35.25" customHeight="1" thickBot="1" x14ac:dyDescent="0.3">
      <c r="A127" s="69" t="s">
        <v>304</v>
      </c>
      <c r="B127" s="11">
        <v>1</v>
      </c>
      <c r="C127" s="11"/>
      <c r="D127" s="41">
        <v>1</v>
      </c>
      <c r="E127" s="11">
        <v>1</v>
      </c>
      <c r="F127" s="85"/>
      <c r="G127" s="12"/>
      <c r="H127" s="29">
        <f t="shared" si="78"/>
        <v>0</v>
      </c>
      <c r="I127" s="81"/>
      <c r="J127" s="57"/>
      <c r="K127" s="79">
        <f t="shared" si="79"/>
        <v>0</v>
      </c>
      <c r="L127" s="11"/>
      <c r="M127" s="49"/>
      <c r="N127" s="13"/>
      <c r="O127" s="85"/>
      <c r="P127" s="14"/>
      <c r="Q127" s="17">
        <f t="shared" si="80"/>
        <v>0</v>
      </c>
      <c r="R127" s="59"/>
      <c r="S127" s="31">
        <f t="shared" si="81"/>
        <v>0</v>
      </c>
    </row>
    <row r="128" spans="1:19" ht="35.25" customHeight="1" thickBot="1" x14ac:dyDescent="0.3">
      <c r="A128" s="69" t="s">
        <v>303</v>
      </c>
      <c r="B128" s="11"/>
      <c r="C128" s="11"/>
      <c r="D128" s="41"/>
      <c r="E128" s="11"/>
      <c r="F128" s="85"/>
      <c r="G128" s="12"/>
      <c r="H128" s="29">
        <f t="shared" ref="H128:H137" si="82">B128-E128</f>
        <v>0</v>
      </c>
      <c r="I128" s="81"/>
      <c r="J128" s="57"/>
      <c r="K128" s="79">
        <f t="shared" ref="K128:K137" si="83">(E128-D128)</f>
        <v>0</v>
      </c>
      <c r="L128" s="11">
        <v>2</v>
      </c>
      <c r="M128" s="49">
        <v>2</v>
      </c>
      <c r="N128" s="13">
        <v>2</v>
      </c>
      <c r="O128" s="85" t="s">
        <v>28</v>
      </c>
      <c r="P128" s="14"/>
      <c r="Q128" s="17">
        <f t="shared" ref="Q128:Q137" si="84">L128-N128</f>
        <v>0</v>
      </c>
      <c r="R128" s="59"/>
      <c r="S128" s="31">
        <f t="shared" ref="S128:S137" si="85">(N128-M128)</f>
        <v>0</v>
      </c>
    </row>
    <row r="129" spans="1:19" ht="35.25" customHeight="1" thickBot="1" x14ac:dyDescent="0.3">
      <c r="A129" s="69" t="s">
        <v>302</v>
      </c>
      <c r="B129" s="11"/>
      <c r="C129" s="11"/>
      <c r="D129" s="41"/>
      <c r="E129" s="11"/>
      <c r="F129" s="85"/>
      <c r="G129" s="12"/>
      <c r="H129" s="29">
        <f t="shared" si="82"/>
        <v>0</v>
      </c>
      <c r="I129" s="81"/>
      <c r="J129" s="57"/>
      <c r="K129" s="79">
        <f t="shared" si="83"/>
        <v>0</v>
      </c>
      <c r="L129" s="11">
        <v>1</v>
      </c>
      <c r="M129" s="49">
        <v>1</v>
      </c>
      <c r="N129" s="13">
        <v>1</v>
      </c>
      <c r="O129" s="85" t="s">
        <v>28</v>
      </c>
      <c r="P129" s="14"/>
      <c r="Q129" s="17">
        <f t="shared" si="84"/>
        <v>0</v>
      </c>
      <c r="R129" s="59"/>
      <c r="S129" s="31">
        <f t="shared" si="85"/>
        <v>0</v>
      </c>
    </row>
    <row r="130" spans="1:19" ht="35.25" customHeight="1" thickBot="1" x14ac:dyDescent="0.3">
      <c r="A130" s="69" t="s">
        <v>301</v>
      </c>
      <c r="B130" s="11">
        <v>101</v>
      </c>
      <c r="C130" s="11"/>
      <c r="D130" s="41">
        <v>101</v>
      </c>
      <c r="E130" s="11">
        <v>101</v>
      </c>
      <c r="F130" s="85"/>
      <c r="G130" s="12"/>
      <c r="H130" s="29">
        <f t="shared" si="82"/>
        <v>0</v>
      </c>
      <c r="I130" s="81"/>
      <c r="J130" s="57"/>
      <c r="K130" s="79">
        <f t="shared" si="83"/>
        <v>0</v>
      </c>
      <c r="L130" s="11"/>
      <c r="M130" s="49"/>
      <c r="N130" s="13"/>
      <c r="O130" s="85"/>
      <c r="P130" s="14"/>
      <c r="Q130" s="17">
        <f t="shared" si="84"/>
        <v>0</v>
      </c>
      <c r="R130" s="59"/>
      <c r="S130" s="31">
        <f t="shared" si="85"/>
        <v>0</v>
      </c>
    </row>
    <row r="131" spans="1:19" ht="35.25" customHeight="1" thickBot="1" x14ac:dyDescent="0.3">
      <c r="A131" s="69" t="s">
        <v>300</v>
      </c>
      <c r="B131" s="11"/>
      <c r="C131" s="11"/>
      <c r="D131" s="41"/>
      <c r="E131" s="11"/>
      <c r="F131" s="85"/>
      <c r="G131" s="12"/>
      <c r="H131" s="29">
        <f t="shared" si="82"/>
        <v>0</v>
      </c>
      <c r="I131" s="81"/>
      <c r="J131" s="57"/>
      <c r="K131" s="79">
        <f t="shared" si="83"/>
        <v>0</v>
      </c>
      <c r="L131" s="11">
        <v>30</v>
      </c>
      <c r="M131" s="49">
        <v>30</v>
      </c>
      <c r="N131" s="13">
        <v>30</v>
      </c>
      <c r="O131" s="85" t="s">
        <v>28</v>
      </c>
      <c r="P131" s="14"/>
      <c r="Q131" s="17">
        <f t="shared" si="84"/>
        <v>0</v>
      </c>
      <c r="R131" s="59"/>
      <c r="S131" s="31">
        <f t="shared" si="85"/>
        <v>0</v>
      </c>
    </row>
    <row r="132" spans="1:19" ht="35.25" customHeight="1" thickBot="1" x14ac:dyDescent="0.3">
      <c r="A132" s="69" t="s">
        <v>241</v>
      </c>
      <c r="B132" s="11"/>
      <c r="C132" s="11"/>
      <c r="D132" s="41"/>
      <c r="E132" s="11"/>
      <c r="F132" s="85"/>
      <c r="G132" s="12"/>
      <c r="H132" s="29">
        <f t="shared" si="82"/>
        <v>0</v>
      </c>
      <c r="I132" s="81"/>
      <c r="J132" s="57"/>
      <c r="K132" s="79">
        <f t="shared" si="83"/>
        <v>0</v>
      </c>
      <c r="L132" s="11">
        <v>24</v>
      </c>
      <c r="M132" s="49">
        <v>24</v>
      </c>
      <c r="N132" s="13">
        <v>24</v>
      </c>
      <c r="O132" s="85" t="s">
        <v>28</v>
      </c>
      <c r="P132" s="14"/>
      <c r="Q132" s="17">
        <f t="shared" si="84"/>
        <v>0</v>
      </c>
      <c r="R132" s="59"/>
      <c r="S132" s="31">
        <f t="shared" si="85"/>
        <v>0</v>
      </c>
    </row>
    <row r="133" spans="1:19" ht="35.25" customHeight="1" thickBot="1" x14ac:dyDescent="0.3">
      <c r="A133" s="69" t="s">
        <v>298</v>
      </c>
      <c r="B133" s="11">
        <v>71</v>
      </c>
      <c r="C133" s="11" t="s">
        <v>299</v>
      </c>
      <c r="D133" s="41">
        <v>71</v>
      </c>
      <c r="E133" s="11">
        <v>71</v>
      </c>
      <c r="F133" s="85"/>
      <c r="G133" s="12"/>
      <c r="H133" s="29">
        <f t="shared" si="82"/>
        <v>0</v>
      </c>
      <c r="I133" s="81"/>
      <c r="J133" s="57"/>
      <c r="K133" s="79">
        <f t="shared" si="83"/>
        <v>0</v>
      </c>
      <c r="L133" s="11"/>
      <c r="M133" s="49"/>
      <c r="N133" s="13"/>
      <c r="O133" s="85"/>
      <c r="P133" s="14"/>
      <c r="Q133" s="17">
        <f t="shared" si="84"/>
        <v>0</v>
      </c>
      <c r="R133" s="59"/>
      <c r="S133" s="31">
        <f t="shared" si="85"/>
        <v>0</v>
      </c>
    </row>
    <row r="134" spans="1:19" ht="35.25" customHeight="1" thickBot="1" x14ac:dyDescent="0.3">
      <c r="A134" s="69" t="s">
        <v>297</v>
      </c>
      <c r="B134" s="11"/>
      <c r="C134" s="11"/>
      <c r="D134" s="41"/>
      <c r="E134" s="11"/>
      <c r="F134" s="85"/>
      <c r="G134" s="12"/>
      <c r="H134" s="29">
        <f t="shared" si="82"/>
        <v>0</v>
      </c>
      <c r="I134" s="81"/>
      <c r="J134" s="57"/>
      <c r="K134" s="79">
        <f t="shared" si="83"/>
        <v>0</v>
      </c>
      <c r="L134" s="11">
        <v>1</v>
      </c>
      <c r="M134" s="49">
        <v>1</v>
      </c>
      <c r="N134" s="13">
        <v>1</v>
      </c>
      <c r="O134" s="85" t="s">
        <v>28</v>
      </c>
      <c r="P134" s="14"/>
      <c r="Q134" s="17">
        <f t="shared" si="84"/>
        <v>0</v>
      </c>
      <c r="R134" s="59"/>
      <c r="S134" s="31">
        <f t="shared" si="85"/>
        <v>0</v>
      </c>
    </row>
    <row r="135" spans="1:19" ht="35.25" customHeight="1" thickBot="1" x14ac:dyDescent="0.3">
      <c r="A135" s="69" t="s">
        <v>291</v>
      </c>
      <c r="B135" s="11">
        <v>2</v>
      </c>
      <c r="C135" s="11"/>
      <c r="D135" s="41">
        <v>2</v>
      </c>
      <c r="E135" s="11">
        <v>2</v>
      </c>
      <c r="F135" s="85"/>
      <c r="G135" s="12"/>
      <c r="H135" s="29">
        <f t="shared" si="82"/>
        <v>0</v>
      </c>
      <c r="I135" s="81"/>
      <c r="J135" s="57"/>
      <c r="K135" s="79">
        <f t="shared" si="83"/>
        <v>0</v>
      </c>
      <c r="L135" s="11"/>
      <c r="M135" s="49"/>
      <c r="N135" s="13"/>
      <c r="O135" s="85"/>
      <c r="P135" s="14"/>
      <c r="Q135" s="17">
        <f t="shared" si="84"/>
        <v>0</v>
      </c>
      <c r="R135" s="59"/>
      <c r="S135" s="31">
        <f t="shared" si="85"/>
        <v>0</v>
      </c>
    </row>
    <row r="136" spans="1:19" ht="35.25" customHeight="1" thickBot="1" x14ac:dyDescent="0.3">
      <c r="A136" s="69" t="s">
        <v>292</v>
      </c>
      <c r="B136" s="11">
        <v>1</v>
      </c>
      <c r="C136" s="11"/>
      <c r="D136" s="41">
        <v>1</v>
      </c>
      <c r="E136" s="11">
        <v>1</v>
      </c>
      <c r="F136" s="85"/>
      <c r="G136" s="12"/>
      <c r="H136" s="29">
        <f t="shared" si="82"/>
        <v>0</v>
      </c>
      <c r="I136" s="81"/>
      <c r="J136" s="57"/>
      <c r="K136" s="79">
        <f t="shared" si="83"/>
        <v>0</v>
      </c>
      <c r="L136" s="11"/>
      <c r="M136" s="49"/>
      <c r="N136" s="13"/>
      <c r="O136" s="85"/>
      <c r="P136" s="14"/>
      <c r="Q136" s="17">
        <f t="shared" si="84"/>
        <v>0</v>
      </c>
      <c r="R136" s="59"/>
      <c r="S136" s="31">
        <f t="shared" si="85"/>
        <v>0</v>
      </c>
    </row>
    <row r="137" spans="1:19" ht="35.25" customHeight="1" thickBot="1" x14ac:dyDescent="0.3">
      <c r="A137" s="69" t="s">
        <v>293</v>
      </c>
      <c r="B137" s="11"/>
      <c r="C137" s="11" t="s">
        <v>296</v>
      </c>
      <c r="D137" s="41"/>
      <c r="E137" s="11"/>
      <c r="F137" s="85"/>
      <c r="G137" s="12"/>
      <c r="H137" s="29">
        <f t="shared" si="82"/>
        <v>0</v>
      </c>
      <c r="I137" s="81"/>
      <c r="J137" s="57"/>
      <c r="K137" s="79">
        <f t="shared" si="83"/>
        <v>0</v>
      </c>
      <c r="L137" s="11"/>
      <c r="M137" s="49"/>
      <c r="N137" s="13"/>
      <c r="O137" s="85"/>
      <c r="P137" s="14"/>
      <c r="Q137" s="17">
        <f t="shared" si="84"/>
        <v>0</v>
      </c>
      <c r="R137" s="59"/>
      <c r="S137" s="31">
        <f t="shared" si="85"/>
        <v>0</v>
      </c>
    </row>
    <row r="138" spans="1:19" ht="35.25" customHeight="1" thickBot="1" x14ac:dyDescent="0.3">
      <c r="A138" s="69" t="s">
        <v>294</v>
      </c>
      <c r="B138" s="11">
        <v>1</v>
      </c>
      <c r="C138" s="11"/>
      <c r="D138" s="41">
        <v>1</v>
      </c>
      <c r="E138" s="11">
        <v>1</v>
      </c>
      <c r="F138" s="85"/>
      <c r="G138" s="12"/>
      <c r="H138" s="29">
        <f t="shared" si="15"/>
        <v>0</v>
      </c>
      <c r="I138" s="81"/>
      <c r="J138" s="57"/>
      <c r="K138" s="79">
        <f t="shared" si="16"/>
        <v>0</v>
      </c>
      <c r="L138" s="11"/>
      <c r="M138" s="49"/>
      <c r="N138" s="13"/>
      <c r="O138" s="85"/>
      <c r="P138" s="14"/>
      <c r="Q138" s="17">
        <f t="shared" si="9"/>
        <v>0</v>
      </c>
      <c r="R138" s="59"/>
      <c r="S138" s="31">
        <f>(N138-M138)</f>
        <v>0</v>
      </c>
    </row>
    <row r="139" spans="1:19" ht="35.25" customHeight="1" thickBot="1" x14ac:dyDescent="0.3">
      <c r="A139" s="69" t="s">
        <v>128</v>
      </c>
      <c r="B139" s="11">
        <v>1</v>
      </c>
      <c r="C139" s="11"/>
      <c r="D139" s="41">
        <v>1</v>
      </c>
      <c r="E139" s="11">
        <v>1</v>
      </c>
      <c r="F139" s="85"/>
      <c r="G139" s="12"/>
      <c r="H139" s="29">
        <f t="shared" si="15"/>
        <v>0</v>
      </c>
      <c r="I139" s="81"/>
      <c r="J139" s="57"/>
      <c r="K139" s="79">
        <f t="shared" si="16"/>
        <v>0</v>
      </c>
      <c r="L139" s="11"/>
      <c r="M139" s="49"/>
      <c r="N139" s="13"/>
      <c r="O139" s="85"/>
      <c r="P139" s="14"/>
      <c r="Q139" s="17">
        <f t="shared" si="9"/>
        <v>0</v>
      </c>
      <c r="R139" s="59"/>
      <c r="S139" s="31">
        <f>(N139-M139)</f>
        <v>0</v>
      </c>
    </row>
    <row r="140" spans="1:19" ht="35.25" customHeight="1" thickBot="1" x14ac:dyDescent="0.3">
      <c r="A140" s="69" t="s">
        <v>144</v>
      </c>
      <c r="B140" s="11">
        <v>2</v>
      </c>
      <c r="C140" s="11"/>
      <c r="D140" s="41">
        <v>2</v>
      </c>
      <c r="E140" s="11">
        <v>2</v>
      </c>
      <c r="F140" s="85"/>
      <c r="G140" s="12"/>
      <c r="H140" s="29">
        <f t="shared" si="15"/>
        <v>0</v>
      </c>
      <c r="I140" s="81"/>
      <c r="J140" s="57"/>
      <c r="K140" s="79">
        <f t="shared" si="16"/>
        <v>0</v>
      </c>
      <c r="L140" s="11"/>
      <c r="M140" s="49"/>
      <c r="N140" s="13"/>
      <c r="O140" s="85"/>
      <c r="P140" s="14"/>
      <c r="Q140" s="17">
        <f t="shared" si="9"/>
        <v>0</v>
      </c>
      <c r="R140" s="59"/>
      <c r="S140" s="31">
        <f>(N140-M140)</f>
        <v>0</v>
      </c>
    </row>
    <row r="141" spans="1:19" ht="35.25" customHeight="1" thickBot="1" x14ac:dyDescent="0.3">
      <c r="A141" s="69" t="s">
        <v>295</v>
      </c>
      <c r="B141" s="11">
        <v>2</v>
      </c>
      <c r="C141" s="11"/>
      <c r="D141" s="41">
        <v>2</v>
      </c>
      <c r="E141" s="11">
        <v>2</v>
      </c>
      <c r="F141" s="85"/>
      <c r="G141" s="12"/>
      <c r="H141" s="29">
        <f t="shared" si="15"/>
        <v>0</v>
      </c>
      <c r="I141" s="81"/>
      <c r="J141" s="57"/>
      <c r="K141" s="79">
        <f t="shared" si="16"/>
        <v>0</v>
      </c>
      <c r="L141" s="11"/>
      <c r="M141" s="49"/>
      <c r="N141" s="13"/>
      <c r="O141" s="85"/>
      <c r="P141" s="14"/>
      <c r="Q141" s="17">
        <f t="shared" si="9"/>
        <v>0</v>
      </c>
      <c r="R141" s="59"/>
      <c r="S141" s="31">
        <f>(N141-M141)</f>
        <v>0</v>
      </c>
    </row>
    <row r="142" spans="1:19" ht="35.25" customHeight="1" thickBot="1" x14ac:dyDescent="0.3">
      <c r="A142" s="69" t="s">
        <v>202</v>
      </c>
      <c r="B142" s="11">
        <v>1</v>
      </c>
      <c r="C142" s="11"/>
      <c r="D142" s="41">
        <v>1</v>
      </c>
      <c r="E142" s="11">
        <v>1</v>
      </c>
      <c r="F142" s="85"/>
      <c r="G142" s="12"/>
      <c r="H142" s="29">
        <f t="shared" si="15"/>
        <v>0</v>
      </c>
      <c r="I142" s="81"/>
      <c r="J142" s="57"/>
      <c r="K142" s="79">
        <f t="shared" si="16"/>
        <v>0</v>
      </c>
      <c r="L142" s="11"/>
      <c r="M142" s="49"/>
      <c r="N142" s="13"/>
      <c r="O142" s="85"/>
      <c r="P142" s="14"/>
      <c r="Q142" s="17">
        <f t="shared" si="9"/>
        <v>0</v>
      </c>
      <c r="R142" s="59"/>
      <c r="S142" s="31">
        <f>(N142-M142)</f>
        <v>0</v>
      </c>
    </row>
    <row r="143" spans="1:19" ht="35.25" customHeight="1" thickBot="1" x14ac:dyDescent="0.3">
      <c r="A143" s="69" t="s">
        <v>97</v>
      </c>
      <c r="B143" s="11">
        <v>2</v>
      </c>
      <c r="C143" s="11"/>
      <c r="D143" s="41">
        <v>2</v>
      </c>
      <c r="E143" s="11">
        <v>2</v>
      </c>
      <c r="F143" s="85"/>
      <c r="G143" s="12"/>
      <c r="H143" s="29">
        <f t="shared" ref="H143:H144" si="86">B143-E143</f>
        <v>0</v>
      </c>
      <c r="I143" s="81"/>
      <c r="J143" s="57"/>
      <c r="K143" s="79">
        <f t="shared" ref="K143:K144" si="87">(E143-D143)</f>
        <v>0</v>
      </c>
      <c r="L143" s="11">
        <v>1</v>
      </c>
      <c r="M143" s="49">
        <v>1</v>
      </c>
      <c r="N143" s="13">
        <v>1</v>
      </c>
      <c r="O143" s="85" t="s">
        <v>61</v>
      </c>
      <c r="P143" s="14"/>
      <c r="Q143" s="17">
        <f t="shared" ref="Q143:Q144" si="88">L143-N143</f>
        <v>0</v>
      </c>
      <c r="R143" s="59"/>
      <c r="S143" s="31">
        <f t="shared" ref="S143:S144" si="89">(N143-M143)</f>
        <v>0</v>
      </c>
    </row>
    <row r="144" spans="1:19" ht="35.25" customHeight="1" thickBot="1" x14ac:dyDescent="0.3">
      <c r="A144" s="69" t="s">
        <v>148</v>
      </c>
      <c r="B144" s="11">
        <v>2</v>
      </c>
      <c r="C144" s="11"/>
      <c r="D144" s="41">
        <v>2</v>
      </c>
      <c r="E144" s="11">
        <v>2</v>
      </c>
      <c r="F144" s="85"/>
      <c r="G144" s="12"/>
      <c r="H144" s="29">
        <f t="shared" si="86"/>
        <v>0</v>
      </c>
      <c r="I144" s="81"/>
      <c r="J144" s="57"/>
      <c r="K144" s="79">
        <f t="shared" si="87"/>
        <v>0</v>
      </c>
      <c r="L144" s="11">
        <v>2</v>
      </c>
      <c r="M144" s="49">
        <v>2</v>
      </c>
      <c r="N144" s="13">
        <v>2</v>
      </c>
      <c r="O144" s="85"/>
      <c r="P144" s="14"/>
      <c r="Q144" s="17">
        <f t="shared" si="88"/>
        <v>0</v>
      </c>
      <c r="R144" s="59"/>
      <c r="S144" s="31">
        <f t="shared" si="89"/>
        <v>0</v>
      </c>
    </row>
    <row r="145" spans="1:19" ht="35.25" customHeight="1" thickBot="1" x14ac:dyDescent="0.3">
      <c r="A145" s="69" t="s">
        <v>50</v>
      </c>
      <c r="B145" s="11">
        <v>3</v>
      </c>
      <c r="C145" s="11"/>
      <c r="D145" s="41">
        <v>3</v>
      </c>
      <c r="E145" s="11">
        <v>3</v>
      </c>
      <c r="F145" s="85"/>
      <c r="G145" s="12"/>
      <c r="H145" s="29">
        <f t="shared" si="15"/>
        <v>0</v>
      </c>
      <c r="I145" s="81"/>
      <c r="J145" s="57"/>
      <c r="K145" s="79">
        <f t="shared" si="16"/>
        <v>0</v>
      </c>
      <c r="L145" s="11"/>
      <c r="M145" s="49"/>
      <c r="N145" s="13"/>
      <c r="O145" s="85"/>
      <c r="P145" s="14"/>
      <c r="Q145" s="17">
        <f t="shared" si="9"/>
        <v>0</v>
      </c>
      <c r="R145" s="59"/>
      <c r="S145" s="31">
        <f>(N145-M145)</f>
        <v>0</v>
      </c>
    </row>
    <row r="146" spans="1:19" ht="35.25" customHeight="1" thickBot="1" x14ac:dyDescent="0.3">
      <c r="A146" s="69" t="s">
        <v>124</v>
      </c>
      <c r="B146" s="11">
        <v>2</v>
      </c>
      <c r="C146" s="11"/>
      <c r="D146" s="41">
        <v>2</v>
      </c>
      <c r="E146" s="11">
        <v>2</v>
      </c>
      <c r="F146" s="85"/>
      <c r="G146" s="12"/>
      <c r="H146" s="29">
        <f t="shared" si="15"/>
        <v>0</v>
      </c>
      <c r="I146" s="81"/>
      <c r="J146" s="57"/>
      <c r="K146" s="79">
        <f t="shared" si="16"/>
        <v>0</v>
      </c>
      <c r="L146" s="11">
        <v>1</v>
      </c>
      <c r="M146" s="49">
        <v>1</v>
      </c>
      <c r="N146" s="13">
        <v>1</v>
      </c>
      <c r="O146" s="85"/>
      <c r="P146" s="14"/>
      <c r="Q146" s="17">
        <f t="shared" si="9"/>
        <v>0</v>
      </c>
      <c r="R146" s="59"/>
      <c r="S146" s="31">
        <f>(N146-M146)</f>
        <v>0</v>
      </c>
    </row>
    <row r="147" spans="1:19" ht="35.25" customHeight="1" thickBot="1" x14ac:dyDescent="0.3">
      <c r="A147" s="69" t="s">
        <v>282</v>
      </c>
      <c r="B147" s="11">
        <v>51</v>
      </c>
      <c r="C147" s="11" t="s">
        <v>66</v>
      </c>
      <c r="D147" s="41">
        <v>51</v>
      </c>
      <c r="E147" s="11">
        <v>51</v>
      </c>
      <c r="F147" s="85"/>
      <c r="G147" s="12"/>
      <c r="H147" s="29">
        <f t="shared" si="15"/>
        <v>0</v>
      </c>
      <c r="I147" s="81"/>
      <c r="J147" s="57"/>
      <c r="K147" s="79">
        <f t="shared" si="16"/>
        <v>0</v>
      </c>
      <c r="L147" s="11"/>
      <c r="M147" s="49"/>
      <c r="N147" s="13"/>
      <c r="O147" s="85"/>
      <c r="P147" s="14"/>
      <c r="Q147" s="17"/>
      <c r="R147" s="59"/>
    </row>
    <row r="148" spans="1:19" ht="35.25" customHeight="1" thickBot="1" x14ac:dyDescent="0.3">
      <c r="A148" s="69" t="s">
        <v>287</v>
      </c>
      <c r="B148" s="11">
        <v>251</v>
      </c>
      <c r="C148" s="11" t="s">
        <v>288</v>
      </c>
      <c r="D148" s="41">
        <v>251</v>
      </c>
      <c r="E148" s="11">
        <v>251</v>
      </c>
      <c r="F148" s="85"/>
      <c r="G148" s="12"/>
      <c r="H148" s="29">
        <f>B148-E148</f>
        <v>0</v>
      </c>
      <c r="I148" s="81"/>
      <c r="J148" s="57"/>
      <c r="K148" s="79">
        <f>(E148-D148)</f>
        <v>0</v>
      </c>
      <c r="L148" s="11"/>
      <c r="M148" s="49"/>
      <c r="N148" s="13"/>
      <c r="O148" s="85"/>
      <c r="P148" s="14"/>
      <c r="Q148" s="17">
        <f>L148-N148</f>
        <v>0</v>
      </c>
      <c r="R148" s="59"/>
      <c r="S148" s="31">
        <f>(N148-M148)</f>
        <v>0</v>
      </c>
    </row>
    <row r="149" spans="1:19" ht="35.25" customHeight="1" thickBot="1" x14ac:dyDescent="0.3">
      <c r="A149" s="69" t="s">
        <v>137</v>
      </c>
      <c r="B149" s="11">
        <v>201</v>
      </c>
      <c r="C149" s="11" t="s">
        <v>290</v>
      </c>
      <c r="D149" s="41">
        <v>201</v>
      </c>
      <c r="E149" s="11">
        <v>201</v>
      </c>
      <c r="F149" s="85"/>
      <c r="G149" s="12"/>
      <c r="H149" s="29">
        <f t="shared" si="15"/>
        <v>0</v>
      </c>
      <c r="I149" s="81"/>
      <c r="J149" s="57"/>
      <c r="K149" s="79">
        <f t="shared" si="16"/>
        <v>0</v>
      </c>
      <c r="L149" s="11"/>
      <c r="M149" s="49"/>
      <c r="N149" s="13"/>
      <c r="O149" s="85"/>
      <c r="P149" s="14"/>
      <c r="Q149" s="17">
        <f t="shared" si="9"/>
        <v>0</v>
      </c>
      <c r="R149" s="59"/>
      <c r="S149" s="31">
        <f>(N149-M149)</f>
        <v>0</v>
      </c>
    </row>
    <row r="150" spans="1:19" ht="35.25" customHeight="1" thickBot="1" x14ac:dyDescent="0.3">
      <c r="A150" s="69" t="s">
        <v>60</v>
      </c>
      <c r="B150" s="11">
        <v>50</v>
      </c>
      <c r="C150" s="11" t="s">
        <v>290</v>
      </c>
      <c r="D150" s="41">
        <v>50</v>
      </c>
      <c r="E150" s="11">
        <v>50</v>
      </c>
      <c r="F150" s="85" t="s">
        <v>61</v>
      </c>
      <c r="G150" s="12"/>
      <c r="H150" s="29">
        <f t="shared" si="15"/>
        <v>0</v>
      </c>
      <c r="I150" s="81"/>
      <c r="J150" s="57"/>
      <c r="K150" s="79">
        <f t="shared" si="16"/>
        <v>0</v>
      </c>
      <c r="L150" s="11"/>
      <c r="M150" s="49"/>
      <c r="N150" s="13"/>
      <c r="O150" s="85"/>
      <c r="P150" s="14"/>
      <c r="Q150" s="17">
        <f t="shared" si="9"/>
        <v>0</v>
      </c>
      <c r="R150" s="59"/>
      <c r="S150" s="31">
        <f>(N150-M150)</f>
        <v>0</v>
      </c>
    </row>
    <row r="151" spans="1:19" ht="35.25" customHeight="1" thickBot="1" x14ac:dyDescent="0.3">
      <c r="A151" s="69" t="s">
        <v>227</v>
      </c>
      <c r="B151" s="11">
        <v>201</v>
      </c>
      <c r="C151" s="11" t="s">
        <v>289</v>
      </c>
      <c r="D151" s="41">
        <v>201</v>
      </c>
      <c r="E151" s="11">
        <v>201</v>
      </c>
      <c r="F151" s="85"/>
      <c r="G151" s="12"/>
      <c r="H151" s="29">
        <f t="shared" si="15"/>
        <v>0</v>
      </c>
      <c r="I151" s="81"/>
      <c r="J151" s="57"/>
      <c r="K151" s="79">
        <f t="shared" si="16"/>
        <v>0</v>
      </c>
      <c r="L151" s="11"/>
      <c r="M151" s="49"/>
      <c r="N151" s="13"/>
      <c r="O151" s="85"/>
      <c r="P151" s="14"/>
      <c r="Q151" s="17">
        <f t="shared" si="9"/>
        <v>0</v>
      </c>
      <c r="R151" s="59"/>
      <c r="S151" s="31">
        <f>(N151-M151)</f>
        <v>0</v>
      </c>
    </row>
    <row r="152" spans="1:19" ht="35.25" customHeight="1" thickBot="1" x14ac:dyDescent="0.3">
      <c r="A152" s="69" t="s">
        <v>238</v>
      </c>
      <c r="B152" s="11"/>
      <c r="C152" s="11"/>
      <c r="D152" s="41"/>
      <c r="E152" s="11"/>
      <c r="F152" s="85"/>
      <c r="G152" s="12"/>
      <c r="H152" s="29">
        <f t="shared" si="15"/>
        <v>0</v>
      </c>
      <c r="I152" s="81"/>
      <c r="J152" s="57"/>
      <c r="K152" s="79">
        <f t="shared" si="16"/>
        <v>0</v>
      </c>
      <c r="L152" s="11">
        <v>10</v>
      </c>
      <c r="M152" s="49">
        <v>12</v>
      </c>
      <c r="N152" s="13">
        <v>12</v>
      </c>
      <c r="O152" s="85" t="s">
        <v>158</v>
      </c>
      <c r="P152" s="14"/>
      <c r="Q152" s="17">
        <f t="shared" si="9"/>
        <v>-2</v>
      </c>
      <c r="R152" s="59"/>
      <c r="S152" s="31">
        <f>(N152-M152)</f>
        <v>0</v>
      </c>
    </row>
    <row r="153" spans="1:19" ht="35.25" customHeight="1" thickBot="1" x14ac:dyDescent="0.3">
      <c r="A153" s="69" t="s">
        <v>254</v>
      </c>
      <c r="B153" s="11">
        <v>1000</v>
      </c>
      <c r="C153" s="11" t="s">
        <v>252</v>
      </c>
      <c r="D153" s="41">
        <v>1003</v>
      </c>
      <c r="E153" s="11">
        <v>1003</v>
      </c>
      <c r="F153" s="85"/>
      <c r="G153" s="12"/>
      <c r="H153" s="29">
        <f t="shared" ref="H153" si="90">B153-E153</f>
        <v>-3</v>
      </c>
      <c r="I153" s="81"/>
      <c r="J153" s="57"/>
      <c r="K153" s="79">
        <f t="shared" ref="K153:K157" si="91">(E153-D153)</f>
        <v>0</v>
      </c>
      <c r="L153" s="11"/>
      <c r="M153" s="49"/>
      <c r="N153" s="13"/>
      <c r="O153" s="85"/>
      <c r="P153" s="14"/>
      <c r="Q153" s="17">
        <f t="shared" ref="Q153:Q157" si="92">L153-N153</f>
        <v>0</v>
      </c>
      <c r="R153" s="59"/>
      <c r="S153" s="31">
        <f t="shared" ref="S153:S157" si="93">(N153-M153)</f>
        <v>0</v>
      </c>
    </row>
    <row r="154" spans="1:19" ht="35.25" customHeight="1" thickBot="1" x14ac:dyDescent="0.3">
      <c r="A154" s="69" t="s">
        <v>58</v>
      </c>
      <c r="B154" s="11">
        <v>12</v>
      </c>
      <c r="C154" s="11" t="s">
        <v>286</v>
      </c>
      <c r="D154" s="41">
        <v>12</v>
      </c>
      <c r="E154" s="11">
        <v>12</v>
      </c>
      <c r="F154" s="85"/>
      <c r="G154" s="12"/>
      <c r="H154" s="29">
        <f>B154-E154</f>
        <v>0</v>
      </c>
      <c r="I154" s="81"/>
      <c r="J154" s="57"/>
      <c r="K154" s="79">
        <f t="shared" si="91"/>
        <v>0</v>
      </c>
      <c r="L154" s="11"/>
      <c r="M154" s="49"/>
      <c r="N154" s="13"/>
      <c r="O154" s="85"/>
      <c r="P154" s="14"/>
      <c r="Q154" s="17">
        <f t="shared" si="92"/>
        <v>0</v>
      </c>
      <c r="R154" s="59"/>
      <c r="S154" s="31">
        <f t="shared" si="93"/>
        <v>0</v>
      </c>
    </row>
    <row r="155" spans="1:19" ht="35.25" customHeight="1" thickBot="1" x14ac:dyDescent="0.3">
      <c r="A155" s="69" t="s">
        <v>279</v>
      </c>
      <c r="B155" s="11">
        <v>101</v>
      </c>
      <c r="C155" s="11" t="s">
        <v>278</v>
      </c>
      <c r="D155" s="41">
        <v>101</v>
      </c>
      <c r="E155" s="11">
        <v>101</v>
      </c>
      <c r="F155" s="85"/>
      <c r="G155" s="12"/>
      <c r="H155" s="29">
        <f>B155-E155</f>
        <v>0</v>
      </c>
      <c r="I155" s="81"/>
      <c r="J155" s="57"/>
      <c r="K155" s="79">
        <f t="shared" si="91"/>
        <v>0</v>
      </c>
      <c r="L155" s="11"/>
      <c r="M155" s="49"/>
      <c r="N155" s="13"/>
      <c r="O155" s="85"/>
      <c r="P155" s="14"/>
      <c r="Q155" s="17">
        <f t="shared" si="92"/>
        <v>0</v>
      </c>
      <c r="R155" s="59"/>
      <c r="S155" s="31">
        <f t="shared" si="93"/>
        <v>0</v>
      </c>
    </row>
    <row r="156" spans="1:19" ht="35.25" customHeight="1" thickBot="1" x14ac:dyDescent="0.3">
      <c r="A156" s="69" t="s">
        <v>236</v>
      </c>
      <c r="B156" s="11">
        <v>201</v>
      </c>
      <c r="C156" s="11" t="s">
        <v>280</v>
      </c>
      <c r="D156" s="41">
        <v>201</v>
      </c>
      <c r="E156" s="11">
        <v>201</v>
      </c>
      <c r="F156" s="85"/>
      <c r="G156" s="12"/>
      <c r="H156" s="29">
        <f>B156-E156</f>
        <v>0</v>
      </c>
      <c r="I156" s="81"/>
      <c r="J156" s="57"/>
      <c r="K156" s="79">
        <f t="shared" si="91"/>
        <v>0</v>
      </c>
      <c r="L156" s="11"/>
      <c r="M156" s="49"/>
      <c r="N156" s="13"/>
      <c r="O156" s="85"/>
      <c r="P156" s="14"/>
      <c r="Q156" s="17">
        <f t="shared" si="92"/>
        <v>0</v>
      </c>
      <c r="R156" s="59"/>
      <c r="S156" s="31">
        <f t="shared" si="93"/>
        <v>0</v>
      </c>
    </row>
    <row r="157" spans="1:19" ht="35.25" customHeight="1" thickBot="1" x14ac:dyDescent="0.3">
      <c r="A157" s="69" t="s">
        <v>267</v>
      </c>
      <c r="B157" s="11">
        <v>530</v>
      </c>
      <c r="C157" s="11" t="s">
        <v>269</v>
      </c>
      <c r="D157" s="41">
        <v>530</v>
      </c>
      <c r="E157" s="11">
        <v>530</v>
      </c>
      <c r="F157" s="85"/>
      <c r="G157" s="12"/>
      <c r="H157" s="29">
        <f>B157-E157</f>
        <v>0</v>
      </c>
      <c r="I157" s="81"/>
      <c r="J157" s="57"/>
      <c r="K157" s="79">
        <f t="shared" si="91"/>
        <v>0</v>
      </c>
      <c r="L157" s="11">
        <v>30</v>
      </c>
      <c r="M157" s="49">
        <v>30</v>
      </c>
      <c r="N157" s="13">
        <v>30</v>
      </c>
      <c r="O157" s="85" t="s">
        <v>158</v>
      </c>
      <c r="P157" s="14"/>
      <c r="Q157" s="17">
        <f t="shared" si="92"/>
        <v>0</v>
      </c>
      <c r="R157" s="59"/>
      <c r="S157" s="31">
        <f t="shared" si="93"/>
        <v>0</v>
      </c>
    </row>
    <row r="158" spans="1:19" ht="35.25" customHeight="1" thickBot="1" x14ac:dyDescent="0.3">
      <c r="A158" s="69" t="s">
        <v>285</v>
      </c>
      <c r="B158" s="11">
        <v>191</v>
      </c>
      <c r="C158" s="11"/>
      <c r="D158" s="41">
        <v>191</v>
      </c>
      <c r="E158" s="11">
        <v>191</v>
      </c>
      <c r="F158" s="85"/>
      <c r="G158" s="12"/>
      <c r="H158" s="29">
        <f t="shared" si="15"/>
        <v>0</v>
      </c>
      <c r="I158" s="81"/>
      <c r="J158" s="57"/>
      <c r="K158" s="79">
        <f t="shared" si="16"/>
        <v>0</v>
      </c>
      <c r="L158" s="11"/>
      <c r="M158" s="49"/>
      <c r="N158" s="13"/>
      <c r="O158" s="85"/>
      <c r="P158" s="14"/>
      <c r="Q158" s="17">
        <f t="shared" si="9"/>
        <v>0</v>
      </c>
      <c r="R158" s="59"/>
      <c r="S158" s="31">
        <f>(N158-M158)</f>
        <v>0</v>
      </c>
    </row>
    <row r="159" spans="1:19" ht="35.25" customHeight="1" thickBot="1" x14ac:dyDescent="0.3">
      <c r="A159" s="69" t="s">
        <v>282</v>
      </c>
      <c r="B159" s="11">
        <v>201</v>
      </c>
      <c r="C159" s="11" t="s">
        <v>283</v>
      </c>
      <c r="D159" s="41">
        <v>201</v>
      </c>
      <c r="E159" s="11">
        <v>201</v>
      </c>
      <c r="F159" s="85"/>
      <c r="G159" s="12"/>
      <c r="H159" s="29">
        <f t="shared" ref="H159:H162" si="94">B159-E159</f>
        <v>0</v>
      </c>
      <c r="I159" s="81"/>
      <c r="J159" s="57"/>
      <c r="K159" s="79">
        <f t="shared" ref="K159:K162" si="95">(E159-D159)</f>
        <v>0</v>
      </c>
      <c r="L159" s="11"/>
      <c r="M159" s="49"/>
      <c r="N159" s="13"/>
      <c r="O159" s="85"/>
      <c r="P159" s="14"/>
      <c r="Q159" s="17">
        <f t="shared" ref="Q159:Q162" si="96">L159-N159</f>
        <v>0</v>
      </c>
      <c r="R159" s="59"/>
      <c r="S159" s="31">
        <f t="shared" ref="S159:S162" si="97">(N159-M159)</f>
        <v>0</v>
      </c>
    </row>
    <row r="160" spans="1:19" ht="35.25" customHeight="1" thickBot="1" x14ac:dyDescent="0.3">
      <c r="A160" s="69" t="s">
        <v>227</v>
      </c>
      <c r="B160" s="11">
        <v>71</v>
      </c>
      <c r="C160" s="11" t="s">
        <v>284</v>
      </c>
      <c r="D160" s="41">
        <v>71</v>
      </c>
      <c r="E160" s="11">
        <v>71</v>
      </c>
      <c r="F160" s="85"/>
      <c r="G160" s="12"/>
      <c r="H160" s="29">
        <f t="shared" si="94"/>
        <v>0</v>
      </c>
      <c r="I160" s="81"/>
      <c r="J160" s="57"/>
      <c r="K160" s="79">
        <f t="shared" si="95"/>
        <v>0</v>
      </c>
      <c r="L160" s="11"/>
      <c r="M160" s="49"/>
      <c r="N160" s="13"/>
      <c r="O160" s="85"/>
      <c r="P160" s="14"/>
      <c r="Q160" s="17">
        <f t="shared" si="96"/>
        <v>0</v>
      </c>
      <c r="R160" s="59"/>
      <c r="S160" s="31">
        <f t="shared" si="97"/>
        <v>0</v>
      </c>
    </row>
    <row r="161" spans="1:19" ht="35.25" customHeight="1" thickBot="1" x14ac:dyDescent="0.3">
      <c r="A161" s="69" t="s">
        <v>241</v>
      </c>
      <c r="B161" s="11">
        <v>2</v>
      </c>
      <c r="C161" s="11"/>
      <c r="D161" s="41">
        <v>2</v>
      </c>
      <c r="E161" s="11">
        <v>2</v>
      </c>
      <c r="F161" s="85"/>
      <c r="G161" s="12"/>
      <c r="H161" s="29">
        <f t="shared" si="94"/>
        <v>0</v>
      </c>
      <c r="I161" s="81"/>
      <c r="J161" s="57"/>
      <c r="K161" s="79">
        <f t="shared" si="95"/>
        <v>0</v>
      </c>
      <c r="L161" s="11">
        <v>12</v>
      </c>
      <c r="M161" s="49">
        <v>12</v>
      </c>
      <c r="N161" s="13">
        <v>12</v>
      </c>
      <c r="O161" s="85" t="s">
        <v>158</v>
      </c>
      <c r="P161" s="14"/>
      <c r="Q161" s="17">
        <f t="shared" si="96"/>
        <v>0</v>
      </c>
      <c r="R161" s="59"/>
      <c r="S161" s="31">
        <f t="shared" si="97"/>
        <v>0</v>
      </c>
    </row>
    <row r="162" spans="1:19" ht="35.25" customHeight="1" thickBot="1" x14ac:dyDescent="0.3">
      <c r="A162" s="69" t="s">
        <v>119</v>
      </c>
      <c r="B162" s="11"/>
      <c r="C162" s="11"/>
      <c r="D162" s="41"/>
      <c r="E162" s="11"/>
      <c r="F162" s="85"/>
      <c r="G162" s="12"/>
      <c r="H162" s="29">
        <f t="shared" si="94"/>
        <v>0</v>
      </c>
      <c r="I162" s="81"/>
      <c r="J162" s="57"/>
      <c r="K162" s="79">
        <f t="shared" si="95"/>
        <v>0</v>
      </c>
      <c r="L162" s="11">
        <v>2</v>
      </c>
      <c r="M162" s="49">
        <v>2</v>
      </c>
      <c r="N162" s="13">
        <v>2</v>
      </c>
      <c r="O162" s="85" t="s">
        <v>158</v>
      </c>
      <c r="P162" s="14"/>
      <c r="Q162" s="17">
        <f t="shared" si="96"/>
        <v>0</v>
      </c>
      <c r="R162" s="59"/>
      <c r="S162" s="31">
        <f t="shared" si="97"/>
        <v>0</v>
      </c>
    </row>
    <row r="163" spans="1:19" ht="35.25" customHeight="1" thickBot="1" x14ac:dyDescent="0.3">
      <c r="A163" s="69" t="s">
        <v>247</v>
      </c>
      <c r="B163" s="11">
        <v>30</v>
      </c>
      <c r="C163" s="11" t="s">
        <v>278</v>
      </c>
      <c r="D163" s="41">
        <v>30</v>
      </c>
      <c r="E163" s="11">
        <v>30</v>
      </c>
      <c r="F163" s="85"/>
      <c r="G163" s="12"/>
      <c r="H163" s="29">
        <f t="shared" si="15"/>
        <v>0</v>
      </c>
      <c r="I163" s="81"/>
      <c r="J163" s="57"/>
      <c r="K163" s="79">
        <f t="shared" si="16"/>
        <v>0</v>
      </c>
      <c r="L163" s="11"/>
      <c r="M163" s="49"/>
      <c r="N163" s="13"/>
      <c r="O163" s="85"/>
      <c r="P163" s="14"/>
      <c r="Q163" s="17">
        <f>L163-N163</f>
        <v>0</v>
      </c>
      <c r="R163" s="59"/>
      <c r="S163" s="31">
        <f t="shared" ref="S163:S170" si="98">(N163-M163)</f>
        <v>0</v>
      </c>
    </row>
    <row r="164" spans="1:19" ht="35.25" customHeight="1" thickBot="1" x14ac:dyDescent="0.3">
      <c r="A164" s="69" t="s">
        <v>275</v>
      </c>
      <c r="B164" s="11">
        <v>60</v>
      </c>
      <c r="C164" s="11" t="s">
        <v>277</v>
      </c>
      <c r="D164" s="41">
        <v>60</v>
      </c>
      <c r="E164" s="11">
        <v>60</v>
      </c>
      <c r="F164" s="85"/>
      <c r="G164" s="12"/>
      <c r="H164" s="29">
        <f t="shared" si="15"/>
        <v>0</v>
      </c>
      <c r="I164" s="81"/>
      <c r="J164" s="57"/>
      <c r="K164" s="79">
        <f t="shared" si="16"/>
        <v>0</v>
      </c>
      <c r="L164" s="11">
        <v>210</v>
      </c>
      <c r="M164" s="49">
        <v>210</v>
      </c>
      <c r="N164" s="13">
        <v>210</v>
      </c>
      <c r="O164" s="85" t="s">
        <v>61</v>
      </c>
      <c r="P164" s="14"/>
      <c r="Q164" s="17">
        <f t="shared" si="9"/>
        <v>0</v>
      </c>
      <c r="R164" s="59"/>
      <c r="S164" s="31">
        <f t="shared" si="98"/>
        <v>0</v>
      </c>
    </row>
    <row r="165" spans="1:19" ht="35.25" customHeight="1" thickBot="1" x14ac:dyDescent="0.3">
      <c r="A165" s="69" t="s">
        <v>276</v>
      </c>
      <c r="B165" s="11">
        <v>200</v>
      </c>
      <c r="C165" s="11" t="s">
        <v>277</v>
      </c>
      <c r="D165" s="41">
        <v>200</v>
      </c>
      <c r="E165" s="11">
        <v>200</v>
      </c>
      <c r="F165" s="85"/>
      <c r="G165" s="12"/>
      <c r="H165" s="29">
        <f t="shared" si="15"/>
        <v>0</v>
      </c>
      <c r="I165" s="81"/>
      <c r="J165" s="57"/>
      <c r="K165" s="79">
        <f t="shared" si="16"/>
        <v>0</v>
      </c>
      <c r="L165" s="11"/>
      <c r="M165" s="49"/>
      <c r="N165" s="13"/>
      <c r="O165" s="85"/>
      <c r="P165" s="14"/>
      <c r="Q165" s="17">
        <f t="shared" si="9"/>
        <v>0</v>
      </c>
      <c r="R165" s="59"/>
      <c r="S165" s="31">
        <f t="shared" si="98"/>
        <v>0</v>
      </c>
    </row>
    <row r="166" spans="1:19" ht="35.25" customHeight="1" thickBot="1" x14ac:dyDescent="0.3">
      <c r="A166" s="69" t="s">
        <v>273</v>
      </c>
      <c r="B166" s="11">
        <v>264</v>
      </c>
      <c r="C166" s="11" t="s">
        <v>271</v>
      </c>
      <c r="D166" s="41">
        <v>264</v>
      </c>
      <c r="E166" s="11">
        <v>264</v>
      </c>
      <c r="F166" s="85"/>
      <c r="G166" s="12"/>
      <c r="H166" s="29">
        <f t="shared" si="15"/>
        <v>0</v>
      </c>
      <c r="I166" s="81"/>
      <c r="J166" s="57"/>
      <c r="K166" s="79">
        <f t="shared" si="16"/>
        <v>0</v>
      </c>
      <c r="L166" s="11">
        <v>3</v>
      </c>
      <c r="M166" s="49">
        <v>3</v>
      </c>
      <c r="N166" s="13">
        <v>3</v>
      </c>
      <c r="O166" s="85" t="s">
        <v>158</v>
      </c>
      <c r="P166" s="14"/>
      <c r="Q166" s="17">
        <f t="shared" si="9"/>
        <v>0</v>
      </c>
      <c r="R166" s="59"/>
      <c r="S166" s="31">
        <f t="shared" si="98"/>
        <v>0</v>
      </c>
    </row>
    <row r="167" spans="1:19" ht="35.25" customHeight="1" thickBot="1" x14ac:dyDescent="0.3">
      <c r="A167" s="69" t="s">
        <v>272</v>
      </c>
      <c r="B167" s="11">
        <v>350</v>
      </c>
      <c r="C167" s="11" t="s">
        <v>271</v>
      </c>
      <c r="D167" s="41">
        <v>350</v>
      </c>
      <c r="E167" s="11">
        <v>350</v>
      </c>
      <c r="F167" s="85"/>
      <c r="G167" s="12"/>
      <c r="H167" s="29">
        <f t="shared" si="15"/>
        <v>0</v>
      </c>
      <c r="I167" s="81"/>
      <c r="J167" s="57"/>
      <c r="K167" s="79">
        <f t="shared" si="16"/>
        <v>0</v>
      </c>
      <c r="L167" s="11"/>
      <c r="M167" s="49"/>
      <c r="N167" s="13"/>
      <c r="O167" s="85"/>
      <c r="P167" s="14"/>
      <c r="Q167" s="17">
        <f t="shared" si="9"/>
        <v>0</v>
      </c>
      <c r="R167" s="59"/>
      <c r="S167" s="31">
        <f t="shared" si="98"/>
        <v>0</v>
      </c>
    </row>
    <row r="168" spans="1:19" ht="35.25" customHeight="1" thickBot="1" x14ac:dyDescent="0.3">
      <c r="A168" s="69" t="s">
        <v>270</v>
      </c>
      <c r="B168" s="11">
        <v>200</v>
      </c>
      <c r="C168" s="11" t="s">
        <v>269</v>
      </c>
      <c r="D168" s="41">
        <v>200</v>
      </c>
      <c r="E168" s="11">
        <v>200</v>
      </c>
      <c r="F168" s="85"/>
      <c r="G168" s="12"/>
      <c r="H168" s="29">
        <f t="shared" si="15"/>
        <v>0</v>
      </c>
      <c r="I168" s="81"/>
      <c r="J168" s="57"/>
      <c r="K168" s="79">
        <f t="shared" si="16"/>
        <v>0</v>
      </c>
      <c r="L168" s="11"/>
      <c r="M168" s="49"/>
      <c r="N168" s="13"/>
      <c r="O168" s="85"/>
      <c r="P168" s="14"/>
      <c r="Q168" s="17">
        <f t="shared" si="9"/>
        <v>0</v>
      </c>
      <c r="R168" s="59"/>
      <c r="S168" s="31">
        <f t="shared" si="98"/>
        <v>0</v>
      </c>
    </row>
    <row r="169" spans="1:19" ht="35.25" customHeight="1" thickBot="1" x14ac:dyDescent="0.3">
      <c r="A169" s="69" t="s">
        <v>215</v>
      </c>
      <c r="B169" s="11">
        <v>24</v>
      </c>
      <c r="C169" s="11" t="s">
        <v>269</v>
      </c>
      <c r="D169" s="41">
        <v>24</v>
      </c>
      <c r="E169" s="11">
        <v>24</v>
      </c>
      <c r="F169" s="85"/>
      <c r="G169" s="12"/>
      <c r="H169" s="29">
        <f t="shared" si="15"/>
        <v>0</v>
      </c>
      <c r="I169" s="81"/>
      <c r="J169" s="57"/>
      <c r="K169" s="79">
        <f t="shared" si="16"/>
        <v>0</v>
      </c>
      <c r="L169" s="11">
        <v>62</v>
      </c>
      <c r="M169" s="49">
        <v>62</v>
      </c>
      <c r="N169" s="13">
        <v>62</v>
      </c>
      <c r="O169" s="85" t="s">
        <v>158</v>
      </c>
      <c r="P169" s="14"/>
      <c r="Q169" s="17">
        <f t="shared" si="9"/>
        <v>0</v>
      </c>
      <c r="R169" s="59"/>
      <c r="S169" s="31">
        <f t="shared" si="98"/>
        <v>0</v>
      </c>
    </row>
    <row r="170" spans="1:19" ht="35.25" customHeight="1" thickBot="1" x14ac:dyDescent="0.3">
      <c r="A170" s="69" t="s">
        <v>161</v>
      </c>
      <c r="B170" s="11">
        <v>600</v>
      </c>
      <c r="C170" s="11" t="s">
        <v>269</v>
      </c>
      <c r="D170" s="41">
        <v>600</v>
      </c>
      <c r="E170" s="11">
        <v>600</v>
      </c>
      <c r="F170" s="85"/>
      <c r="G170" s="12"/>
      <c r="H170" s="29">
        <f t="shared" si="15"/>
        <v>0</v>
      </c>
      <c r="I170" s="81"/>
      <c r="J170" s="57"/>
      <c r="K170" s="79">
        <f t="shared" si="16"/>
        <v>0</v>
      </c>
      <c r="L170" s="11"/>
      <c r="M170" s="49"/>
      <c r="N170" s="13"/>
      <c r="O170" s="85"/>
      <c r="P170" s="14"/>
      <c r="Q170" s="17">
        <f t="shared" si="9"/>
        <v>0</v>
      </c>
      <c r="R170" s="59"/>
      <c r="S170" s="31">
        <f t="shared" si="98"/>
        <v>0</v>
      </c>
    </row>
    <row r="171" spans="1:19" ht="35.25" customHeight="1" thickBot="1" x14ac:dyDescent="0.3">
      <c r="A171" s="69" t="s">
        <v>126</v>
      </c>
      <c r="B171" s="11">
        <v>400</v>
      </c>
      <c r="C171" s="11" t="s">
        <v>265</v>
      </c>
      <c r="D171" s="41">
        <v>400</v>
      </c>
      <c r="E171" s="11">
        <v>400</v>
      </c>
      <c r="F171" s="85"/>
      <c r="G171" s="12"/>
      <c r="H171" s="29">
        <f>B171-E171</f>
        <v>0</v>
      </c>
      <c r="I171" s="81"/>
      <c r="J171" s="57"/>
      <c r="K171" s="79">
        <f>(E171-D171)</f>
        <v>0</v>
      </c>
      <c r="L171" s="11"/>
      <c r="M171" s="49"/>
      <c r="N171" s="13"/>
      <c r="O171" s="85"/>
      <c r="P171" s="14"/>
      <c r="Q171" s="17">
        <f>L171-N171</f>
        <v>0</v>
      </c>
      <c r="R171" s="59"/>
      <c r="S171" s="31">
        <f t="shared" ref="S171" si="99">(N171-M171)</f>
        <v>0</v>
      </c>
    </row>
    <row r="172" spans="1:19" ht="35.25" customHeight="1" thickBot="1" x14ac:dyDescent="0.3">
      <c r="A172" s="69" t="s">
        <v>249</v>
      </c>
      <c r="B172" s="11">
        <v>6</v>
      </c>
      <c r="C172" s="11" t="s">
        <v>274</v>
      </c>
      <c r="D172" s="41">
        <v>6</v>
      </c>
      <c r="E172" s="11">
        <v>6</v>
      </c>
      <c r="F172" s="85"/>
      <c r="G172" s="12"/>
      <c r="H172" s="29">
        <f>B172-E172</f>
        <v>0</v>
      </c>
      <c r="I172" s="57"/>
      <c r="J172" s="57"/>
      <c r="K172" s="79">
        <f>(E172-D172)</f>
        <v>0</v>
      </c>
      <c r="L172" s="11"/>
      <c r="M172" s="49"/>
      <c r="N172" s="13"/>
      <c r="O172" s="85"/>
      <c r="P172" s="14"/>
      <c r="Q172" s="17">
        <f>L172-N172</f>
        <v>0</v>
      </c>
      <c r="R172" s="59"/>
      <c r="S172" s="31">
        <f t="shared" ref="S172:S177" si="100">(N172-M172)</f>
        <v>0</v>
      </c>
    </row>
    <row r="173" spans="1:19" ht="35.25" customHeight="1" thickBot="1" x14ac:dyDescent="0.3">
      <c r="A173" s="69" t="s">
        <v>151</v>
      </c>
      <c r="B173" s="11"/>
      <c r="C173" s="11"/>
      <c r="D173" s="41"/>
      <c r="E173" s="11"/>
      <c r="F173" s="85"/>
      <c r="G173" s="12"/>
      <c r="H173" s="29">
        <f t="shared" ref="H173:H179" si="101">B173-E173</f>
        <v>0</v>
      </c>
      <c r="I173" s="57"/>
      <c r="J173" s="57"/>
      <c r="K173" s="79">
        <f t="shared" ref="K173:K179" si="102">(E173-D173)</f>
        <v>0</v>
      </c>
      <c r="L173" s="11">
        <v>5</v>
      </c>
      <c r="M173" s="49">
        <v>12</v>
      </c>
      <c r="N173" s="13">
        <v>12</v>
      </c>
      <c r="O173" s="85" t="s">
        <v>158</v>
      </c>
      <c r="P173" s="14"/>
      <c r="Q173" s="17">
        <f t="shared" ref="Q173:Q179" si="103">L173-N173</f>
        <v>-7</v>
      </c>
      <c r="R173" s="59"/>
      <c r="S173" s="31">
        <f t="shared" si="100"/>
        <v>0</v>
      </c>
    </row>
    <row r="174" spans="1:19" ht="35.25" customHeight="1" thickBot="1" x14ac:dyDescent="0.3">
      <c r="A174" s="69" t="s">
        <v>268</v>
      </c>
      <c r="B174" s="11">
        <v>6</v>
      </c>
      <c r="C174" s="11"/>
      <c r="D174" s="41">
        <v>6</v>
      </c>
      <c r="E174" s="11">
        <v>6</v>
      </c>
      <c r="F174" s="85"/>
      <c r="G174" s="12"/>
      <c r="H174" s="29">
        <f t="shared" si="101"/>
        <v>0</v>
      </c>
      <c r="I174" s="57"/>
      <c r="J174" s="57"/>
      <c r="K174" s="79">
        <f t="shared" si="102"/>
        <v>0</v>
      </c>
      <c r="L174" s="11"/>
      <c r="M174" s="49"/>
      <c r="N174" s="13"/>
      <c r="O174" s="85"/>
      <c r="P174" s="14"/>
      <c r="Q174" s="17">
        <f t="shared" si="103"/>
        <v>0</v>
      </c>
      <c r="R174" s="59"/>
      <c r="S174" s="31">
        <f t="shared" si="100"/>
        <v>0</v>
      </c>
    </row>
    <row r="175" spans="1:19" ht="35.25" customHeight="1" thickBot="1" x14ac:dyDescent="0.3">
      <c r="A175" s="69" t="s">
        <v>267</v>
      </c>
      <c r="B175" s="11">
        <v>100</v>
      </c>
      <c r="C175" s="11"/>
      <c r="D175" s="41">
        <v>100</v>
      </c>
      <c r="E175" s="11">
        <v>100</v>
      </c>
      <c r="F175" s="85"/>
      <c r="G175" s="12"/>
      <c r="H175" s="29">
        <f t="shared" si="101"/>
        <v>0</v>
      </c>
      <c r="I175" s="57"/>
      <c r="J175" s="57"/>
      <c r="K175" s="79">
        <f t="shared" si="102"/>
        <v>0</v>
      </c>
      <c r="L175" s="11"/>
      <c r="M175" s="49"/>
      <c r="N175" s="13"/>
      <c r="O175" s="85"/>
      <c r="P175" s="14"/>
      <c r="Q175" s="17">
        <f t="shared" si="103"/>
        <v>0</v>
      </c>
      <c r="R175" s="59"/>
      <c r="S175" s="31">
        <f t="shared" si="100"/>
        <v>0</v>
      </c>
    </row>
    <row r="176" spans="1:19" ht="35.25" customHeight="1" thickBot="1" x14ac:dyDescent="0.3">
      <c r="A176" s="69" t="s">
        <v>225</v>
      </c>
      <c r="B176" s="11">
        <v>50</v>
      </c>
      <c r="C176" s="11"/>
      <c r="D176" s="41">
        <v>50</v>
      </c>
      <c r="E176" s="11">
        <v>50</v>
      </c>
      <c r="F176" s="85"/>
      <c r="G176" s="12"/>
      <c r="H176" s="29">
        <f t="shared" si="101"/>
        <v>0</v>
      </c>
      <c r="I176" s="57"/>
      <c r="J176" s="57">
        <v>1</v>
      </c>
      <c r="K176" s="79">
        <f t="shared" si="102"/>
        <v>0</v>
      </c>
      <c r="L176" s="11">
        <v>8</v>
      </c>
      <c r="M176" s="49">
        <v>8</v>
      </c>
      <c r="N176" s="13">
        <v>8</v>
      </c>
      <c r="O176" s="85"/>
      <c r="P176" s="14"/>
      <c r="Q176" s="17">
        <f t="shared" si="103"/>
        <v>0</v>
      </c>
      <c r="R176" s="59"/>
      <c r="S176" s="31">
        <f t="shared" si="100"/>
        <v>0</v>
      </c>
    </row>
    <row r="177" spans="1:19" ht="35.25" customHeight="1" thickBot="1" x14ac:dyDescent="0.3">
      <c r="A177" s="69" t="s">
        <v>241</v>
      </c>
      <c r="B177" s="11">
        <v>600</v>
      </c>
      <c r="C177" s="11" t="s">
        <v>259</v>
      </c>
      <c r="D177" s="41">
        <v>600</v>
      </c>
      <c r="E177" s="11">
        <v>600</v>
      </c>
      <c r="F177" s="85"/>
      <c r="G177" s="12"/>
      <c r="H177" s="29">
        <f t="shared" si="101"/>
        <v>0</v>
      </c>
      <c r="I177" s="57"/>
      <c r="J177" s="57"/>
      <c r="K177" s="79">
        <f t="shared" si="102"/>
        <v>0</v>
      </c>
      <c r="L177" s="11">
        <v>24</v>
      </c>
      <c r="M177" s="49">
        <v>24</v>
      </c>
      <c r="N177" s="13">
        <v>24</v>
      </c>
      <c r="O177" s="85" t="s">
        <v>158</v>
      </c>
      <c r="P177" s="14"/>
      <c r="Q177" s="17">
        <f t="shared" si="103"/>
        <v>0</v>
      </c>
      <c r="R177" s="59"/>
      <c r="S177" s="31">
        <f t="shared" si="100"/>
        <v>0</v>
      </c>
    </row>
    <row r="178" spans="1:19" ht="35.25" customHeight="1" thickBot="1" x14ac:dyDescent="0.3">
      <c r="A178" s="69" t="s">
        <v>249</v>
      </c>
      <c r="B178" s="11">
        <v>1650</v>
      </c>
      <c r="C178" s="11" t="s">
        <v>250</v>
      </c>
      <c r="D178" s="41">
        <v>1650</v>
      </c>
      <c r="E178" s="11">
        <v>1650</v>
      </c>
      <c r="F178" s="85"/>
      <c r="G178" s="12"/>
      <c r="H178" s="29">
        <f t="shared" si="101"/>
        <v>0</v>
      </c>
      <c r="I178" s="57"/>
      <c r="J178" s="57"/>
      <c r="K178" s="79">
        <f t="shared" si="102"/>
        <v>0</v>
      </c>
      <c r="L178" s="11"/>
      <c r="M178" s="49"/>
      <c r="N178" s="13"/>
      <c r="O178" s="85"/>
      <c r="P178" s="14"/>
      <c r="Q178" s="17">
        <f t="shared" si="103"/>
        <v>0</v>
      </c>
      <c r="R178" s="59"/>
      <c r="S178" s="31">
        <f t="shared" ref="S178" si="104">(N178-M178)</f>
        <v>0</v>
      </c>
    </row>
    <row r="179" spans="1:19" ht="35.25" customHeight="1" thickBot="1" x14ac:dyDescent="0.3">
      <c r="A179" s="69" t="s">
        <v>227</v>
      </c>
      <c r="B179" s="11">
        <v>0</v>
      </c>
      <c r="C179" s="11"/>
      <c r="D179" s="41">
        <v>30</v>
      </c>
      <c r="E179" s="11">
        <v>30</v>
      </c>
      <c r="F179" s="85"/>
      <c r="G179" s="12"/>
      <c r="H179" s="29">
        <f t="shared" si="101"/>
        <v>-30</v>
      </c>
      <c r="I179" s="57"/>
      <c r="J179" s="57"/>
      <c r="K179" s="79">
        <f t="shared" si="102"/>
        <v>0</v>
      </c>
      <c r="L179" s="11"/>
      <c r="M179" s="49"/>
      <c r="N179" s="13"/>
      <c r="O179" s="85"/>
      <c r="P179" s="14"/>
      <c r="Q179" s="17">
        <f t="shared" si="103"/>
        <v>0</v>
      </c>
      <c r="R179" s="59"/>
      <c r="S179" s="31">
        <f>(N179-M179)</f>
        <v>0</v>
      </c>
    </row>
    <row r="180" spans="1:19" ht="35.25" customHeight="1" thickBot="1" x14ac:dyDescent="0.3">
      <c r="A180" s="69" t="s">
        <v>266</v>
      </c>
      <c r="B180" s="11">
        <v>500</v>
      </c>
      <c r="C180" s="11"/>
      <c r="D180" s="41">
        <v>500</v>
      </c>
      <c r="E180" s="11">
        <v>500</v>
      </c>
      <c r="F180" s="85" t="s">
        <v>61</v>
      </c>
      <c r="G180" s="12"/>
      <c r="H180" s="29">
        <f t="shared" ref="H180:H187" si="105">B180-E180</f>
        <v>0</v>
      </c>
      <c r="I180" s="57"/>
      <c r="J180" s="57"/>
      <c r="K180" s="79">
        <f t="shared" ref="K180:K187" si="106">(E180-D180)</f>
        <v>0</v>
      </c>
      <c r="L180" s="11"/>
      <c r="M180" s="49"/>
      <c r="N180" s="13"/>
      <c r="O180" s="85"/>
      <c r="P180" s="14"/>
      <c r="Q180" s="17">
        <f t="shared" ref="Q180:Q187" si="107">L180-N180</f>
        <v>0</v>
      </c>
      <c r="R180" s="59"/>
      <c r="S180" s="31">
        <f t="shared" ref="S180:S187" si="108">(N180-M180)</f>
        <v>0</v>
      </c>
    </row>
    <row r="181" spans="1:19" ht="35.25" customHeight="1" thickBot="1" x14ac:dyDescent="0.3">
      <c r="A181" s="69" t="s">
        <v>177</v>
      </c>
      <c r="B181" s="11">
        <v>100</v>
      </c>
      <c r="C181" s="11"/>
      <c r="D181" s="41">
        <v>100</v>
      </c>
      <c r="E181" s="11">
        <v>100</v>
      </c>
      <c r="F181" s="85" t="s">
        <v>61</v>
      </c>
      <c r="G181" s="12">
        <v>100</v>
      </c>
      <c r="H181" s="29">
        <f t="shared" si="105"/>
        <v>0</v>
      </c>
      <c r="I181" s="57"/>
      <c r="J181" s="57"/>
      <c r="K181" s="79">
        <f t="shared" si="106"/>
        <v>0</v>
      </c>
      <c r="L181" s="11"/>
      <c r="M181" s="49"/>
      <c r="N181" s="13"/>
      <c r="O181" s="85"/>
      <c r="P181" s="14"/>
      <c r="Q181" s="17">
        <f t="shared" si="107"/>
        <v>0</v>
      </c>
      <c r="R181" s="59"/>
      <c r="S181" s="31">
        <f t="shared" si="108"/>
        <v>0</v>
      </c>
    </row>
    <row r="182" spans="1:19" ht="35.25" customHeight="1" thickBot="1" x14ac:dyDescent="0.3">
      <c r="A182" s="69" t="s">
        <v>215</v>
      </c>
      <c r="B182" s="11">
        <v>900</v>
      </c>
      <c r="C182" s="11" t="s">
        <v>252</v>
      </c>
      <c r="D182" s="41">
        <v>900</v>
      </c>
      <c r="E182" s="11">
        <v>900</v>
      </c>
      <c r="F182" s="85"/>
      <c r="G182" s="12">
        <v>450</v>
      </c>
      <c r="H182" s="29">
        <f t="shared" si="105"/>
        <v>0</v>
      </c>
      <c r="I182" s="57"/>
      <c r="J182" s="57"/>
      <c r="K182" s="79">
        <f t="shared" si="106"/>
        <v>0</v>
      </c>
      <c r="L182" s="11"/>
      <c r="M182" s="49"/>
      <c r="N182" s="13"/>
      <c r="O182" s="85"/>
      <c r="P182" s="14"/>
      <c r="Q182" s="17">
        <f t="shared" si="107"/>
        <v>0</v>
      </c>
      <c r="R182" s="59"/>
      <c r="S182" s="31">
        <f t="shared" si="108"/>
        <v>0</v>
      </c>
    </row>
    <row r="183" spans="1:19" ht="35.25" customHeight="1" thickBot="1" x14ac:dyDescent="0.3">
      <c r="A183" s="69" t="s">
        <v>155</v>
      </c>
      <c r="B183" s="11">
        <v>15</v>
      </c>
      <c r="C183" s="11" t="s">
        <v>26</v>
      </c>
      <c r="D183" s="41">
        <v>15</v>
      </c>
      <c r="E183" s="11">
        <v>15</v>
      </c>
      <c r="F183" s="85" t="s">
        <v>61</v>
      </c>
      <c r="G183" s="12"/>
      <c r="H183" s="29">
        <f t="shared" si="105"/>
        <v>0</v>
      </c>
      <c r="I183" s="57"/>
      <c r="J183" s="57"/>
      <c r="K183" s="79">
        <f t="shared" si="106"/>
        <v>0</v>
      </c>
      <c r="L183" s="11"/>
      <c r="M183" s="49"/>
      <c r="N183" s="13"/>
      <c r="O183" s="85"/>
      <c r="P183" s="14"/>
      <c r="Q183" s="17">
        <f t="shared" si="107"/>
        <v>0</v>
      </c>
      <c r="R183" s="59"/>
      <c r="S183" s="31">
        <f t="shared" si="108"/>
        <v>0</v>
      </c>
    </row>
    <row r="184" spans="1:19" ht="35.25" customHeight="1" thickBot="1" x14ac:dyDescent="0.3">
      <c r="A184" s="69" t="s">
        <v>155</v>
      </c>
      <c r="B184" s="11">
        <v>47</v>
      </c>
      <c r="C184" s="11"/>
      <c r="D184" s="41">
        <v>47</v>
      </c>
      <c r="E184" s="11">
        <v>47</v>
      </c>
      <c r="F184" s="85"/>
      <c r="G184" s="12"/>
      <c r="H184" s="29">
        <f t="shared" si="105"/>
        <v>0</v>
      </c>
      <c r="I184" s="57"/>
      <c r="J184" s="57"/>
      <c r="K184" s="79">
        <f t="shared" si="106"/>
        <v>0</v>
      </c>
      <c r="L184" s="11">
        <v>26</v>
      </c>
      <c r="M184" s="49">
        <v>26</v>
      </c>
      <c r="N184" s="13">
        <v>26</v>
      </c>
      <c r="O184" s="85" t="s">
        <v>258</v>
      </c>
      <c r="P184" s="14"/>
      <c r="Q184" s="17">
        <f t="shared" si="107"/>
        <v>0</v>
      </c>
      <c r="R184" s="59"/>
      <c r="S184" s="31">
        <f t="shared" si="108"/>
        <v>0</v>
      </c>
    </row>
    <row r="185" spans="1:19" ht="35.25" customHeight="1" thickBot="1" x14ac:dyDescent="0.3">
      <c r="A185" s="69" t="s">
        <v>101</v>
      </c>
      <c r="B185" s="11">
        <v>24</v>
      </c>
      <c r="C185" s="11"/>
      <c r="D185" s="41">
        <v>24</v>
      </c>
      <c r="E185" s="11">
        <v>24</v>
      </c>
      <c r="F185" s="85"/>
      <c r="G185" s="12"/>
      <c r="H185" s="29">
        <f t="shared" si="105"/>
        <v>0</v>
      </c>
      <c r="I185" s="57"/>
      <c r="J185" s="57"/>
      <c r="K185" s="79">
        <f t="shared" si="106"/>
        <v>0</v>
      </c>
      <c r="L185" s="11"/>
      <c r="M185" s="49"/>
      <c r="N185" s="13"/>
      <c r="O185" s="85"/>
      <c r="P185" s="14"/>
      <c r="Q185" s="17">
        <f t="shared" si="107"/>
        <v>0</v>
      </c>
      <c r="R185" s="59"/>
      <c r="S185" s="31">
        <f t="shared" si="108"/>
        <v>0</v>
      </c>
    </row>
    <row r="186" spans="1:19" ht="35.25" customHeight="1" thickBot="1" x14ac:dyDescent="0.3">
      <c r="A186" s="69" t="s">
        <v>163</v>
      </c>
      <c r="B186" s="11">
        <v>165</v>
      </c>
      <c r="C186" s="11" t="s">
        <v>252</v>
      </c>
      <c r="D186" s="41">
        <v>165</v>
      </c>
      <c r="E186" s="11">
        <v>165</v>
      </c>
      <c r="F186" s="85"/>
      <c r="G186" s="12"/>
      <c r="H186" s="29">
        <f t="shared" si="105"/>
        <v>0</v>
      </c>
      <c r="I186" s="57"/>
      <c r="J186" s="57"/>
      <c r="K186" s="79">
        <f t="shared" si="106"/>
        <v>0</v>
      </c>
      <c r="L186" s="11"/>
      <c r="M186" s="49"/>
      <c r="N186" s="13"/>
      <c r="O186" s="85"/>
      <c r="P186" s="14"/>
      <c r="Q186" s="17">
        <f t="shared" si="107"/>
        <v>0</v>
      </c>
      <c r="R186" s="59"/>
      <c r="S186" s="31">
        <f t="shared" si="108"/>
        <v>0</v>
      </c>
    </row>
    <row r="187" spans="1:19" ht="35.25" customHeight="1" thickBot="1" x14ac:dyDescent="0.3">
      <c r="A187" s="69" t="s">
        <v>251</v>
      </c>
      <c r="B187" s="11">
        <v>750</v>
      </c>
      <c r="C187" s="11" t="s">
        <v>250</v>
      </c>
      <c r="D187" s="41">
        <v>752</v>
      </c>
      <c r="E187" s="11">
        <v>750</v>
      </c>
      <c r="F187" s="85"/>
      <c r="G187" s="12"/>
      <c r="H187" s="29">
        <f t="shared" si="105"/>
        <v>0</v>
      </c>
      <c r="I187" s="57"/>
      <c r="J187" s="57"/>
      <c r="K187" s="79">
        <f t="shared" si="106"/>
        <v>-2</v>
      </c>
      <c r="L187" s="11"/>
      <c r="M187" s="49"/>
      <c r="N187" s="13"/>
      <c r="O187" s="85"/>
      <c r="P187" s="14"/>
      <c r="Q187" s="17">
        <f t="shared" si="107"/>
        <v>0</v>
      </c>
      <c r="R187" s="59"/>
      <c r="S187" s="31">
        <f t="shared" si="108"/>
        <v>0</v>
      </c>
    </row>
    <row r="188" spans="1:19" ht="35.25" customHeight="1" thickBot="1" x14ac:dyDescent="0.3">
      <c r="A188" s="69" t="s">
        <v>242</v>
      </c>
      <c r="B188" s="11">
        <v>24</v>
      </c>
      <c r="C188" s="11"/>
      <c r="D188" s="41">
        <v>24</v>
      </c>
      <c r="E188" s="11">
        <v>24</v>
      </c>
      <c r="F188" s="85"/>
      <c r="G188" s="12"/>
      <c r="H188" s="29">
        <f t="shared" ref="H188:H193" si="109">B188-E188</f>
        <v>0</v>
      </c>
      <c r="I188" s="57"/>
      <c r="J188" s="57"/>
      <c r="K188" s="79">
        <f t="shared" ref="K188:K193" si="110">(E188-D188)</f>
        <v>0</v>
      </c>
      <c r="L188" s="11"/>
      <c r="M188" s="49"/>
      <c r="N188" s="13"/>
      <c r="O188" s="85"/>
      <c r="P188" s="14"/>
      <c r="Q188" s="17">
        <f t="shared" ref="Q188:Q193" si="111">L188-N188</f>
        <v>0</v>
      </c>
      <c r="R188" s="59"/>
      <c r="S188" s="31">
        <f t="shared" ref="S188:S193" si="112">(N188-M188)</f>
        <v>0</v>
      </c>
    </row>
    <row r="189" spans="1:19" ht="35.25" customHeight="1" thickBot="1" x14ac:dyDescent="0.3">
      <c r="A189" s="69" t="s">
        <v>58</v>
      </c>
      <c r="B189" s="11">
        <v>24</v>
      </c>
      <c r="C189" s="11"/>
      <c r="D189" s="41">
        <v>24</v>
      </c>
      <c r="E189" s="11">
        <v>24</v>
      </c>
      <c r="F189" s="85"/>
      <c r="G189" s="12"/>
      <c r="H189" s="29">
        <f t="shared" si="109"/>
        <v>0</v>
      </c>
      <c r="I189" s="57"/>
      <c r="J189" s="57"/>
      <c r="K189" s="79">
        <f t="shared" si="110"/>
        <v>0</v>
      </c>
      <c r="L189" s="11"/>
      <c r="M189" s="49"/>
      <c r="N189" s="13"/>
      <c r="O189" s="85"/>
      <c r="P189" s="14"/>
      <c r="Q189" s="17">
        <f t="shared" si="111"/>
        <v>0</v>
      </c>
      <c r="R189" s="59"/>
      <c r="S189" s="31">
        <f t="shared" si="112"/>
        <v>0</v>
      </c>
    </row>
    <row r="190" spans="1:19" ht="35.25" customHeight="1" thickBot="1" x14ac:dyDescent="0.3">
      <c r="A190" s="69" t="s">
        <v>264</v>
      </c>
      <c r="B190" s="11">
        <v>50</v>
      </c>
      <c r="C190" s="11" t="s">
        <v>262</v>
      </c>
      <c r="D190" s="41">
        <v>50</v>
      </c>
      <c r="E190" s="11">
        <v>50</v>
      </c>
      <c r="F190" s="85"/>
      <c r="G190" s="12"/>
      <c r="H190" s="29">
        <f t="shared" si="109"/>
        <v>0</v>
      </c>
      <c r="I190" s="57"/>
      <c r="J190" s="57"/>
      <c r="K190" s="79">
        <f t="shared" si="110"/>
        <v>0</v>
      </c>
      <c r="L190" s="11"/>
      <c r="M190" s="49"/>
      <c r="N190" s="13"/>
      <c r="O190" s="85"/>
      <c r="P190" s="14"/>
      <c r="Q190" s="17">
        <f t="shared" si="111"/>
        <v>0</v>
      </c>
      <c r="R190" s="59"/>
      <c r="S190" s="31">
        <f t="shared" si="112"/>
        <v>0</v>
      </c>
    </row>
    <row r="191" spans="1:19" ht="35.25" customHeight="1" thickBot="1" x14ac:dyDescent="0.3">
      <c r="A191" s="69" t="s">
        <v>263</v>
      </c>
      <c r="B191" s="11">
        <v>60</v>
      </c>
      <c r="C191" s="11" t="s">
        <v>262</v>
      </c>
      <c r="D191" s="41">
        <v>60</v>
      </c>
      <c r="E191" s="11">
        <v>60</v>
      </c>
      <c r="F191" s="85"/>
      <c r="G191" s="12"/>
      <c r="H191" s="29">
        <f t="shared" si="109"/>
        <v>0</v>
      </c>
      <c r="I191" s="57"/>
      <c r="J191" s="57"/>
      <c r="K191" s="79">
        <f t="shared" si="110"/>
        <v>0</v>
      </c>
      <c r="L191" s="11">
        <v>10</v>
      </c>
      <c r="M191" s="49">
        <v>10</v>
      </c>
      <c r="N191" s="13">
        <v>10</v>
      </c>
      <c r="O191" s="85" t="s">
        <v>158</v>
      </c>
      <c r="P191" s="14">
        <v>10</v>
      </c>
      <c r="Q191" s="17">
        <f t="shared" si="111"/>
        <v>0</v>
      </c>
      <c r="R191" s="59"/>
      <c r="S191" s="31">
        <f t="shared" si="112"/>
        <v>0</v>
      </c>
    </row>
    <row r="192" spans="1:19" ht="35.25" customHeight="1" thickBot="1" x14ac:dyDescent="0.3">
      <c r="A192" s="69" t="s">
        <v>260</v>
      </c>
      <c r="B192" s="11">
        <v>100</v>
      </c>
      <c r="C192" s="11" t="s">
        <v>259</v>
      </c>
      <c r="D192" s="41">
        <v>100</v>
      </c>
      <c r="E192" s="11">
        <v>100</v>
      </c>
      <c r="F192" s="85"/>
      <c r="G192" s="12"/>
      <c r="H192" s="29">
        <f t="shared" si="109"/>
        <v>0</v>
      </c>
      <c r="I192" s="57"/>
      <c r="J192" s="57"/>
      <c r="K192" s="79">
        <f t="shared" si="110"/>
        <v>0</v>
      </c>
      <c r="L192" s="11"/>
      <c r="M192" s="49"/>
      <c r="N192" s="13"/>
      <c r="O192" s="85"/>
      <c r="P192" s="14"/>
      <c r="Q192" s="17">
        <f t="shared" si="111"/>
        <v>0</v>
      </c>
      <c r="R192" s="59"/>
      <c r="S192" s="31">
        <f t="shared" si="112"/>
        <v>0</v>
      </c>
    </row>
    <row r="193" spans="1:19" ht="35.25" customHeight="1" thickBot="1" x14ac:dyDescent="0.3">
      <c r="A193" s="69" t="s">
        <v>167</v>
      </c>
      <c r="B193" s="11">
        <v>100</v>
      </c>
      <c r="C193" s="11" t="s">
        <v>259</v>
      </c>
      <c r="D193" s="41">
        <v>100</v>
      </c>
      <c r="E193" s="11">
        <v>100</v>
      </c>
      <c r="F193" s="85"/>
      <c r="G193" s="12"/>
      <c r="H193" s="29">
        <f t="shared" si="109"/>
        <v>0</v>
      </c>
      <c r="I193" s="57"/>
      <c r="J193" s="57"/>
      <c r="K193" s="79">
        <f t="shared" si="110"/>
        <v>0</v>
      </c>
      <c r="L193" s="11"/>
      <c r="M193" s="49"/>
      <c r="N193" s="13"/>
      <c r="O193" s="85"/>
      <c r="P193" s="14"/>
      <c r="Q193" s="17">
        <f t="shared" si="111"/>
        <v>0</v>
      </c>
      <c r="R193" s="59"/>
      <c r="S193" s="31">
        <f t="shared" si="112"/>
        <v>0</v>
      </c>
    </row>
    <row r="194" spans="1:19" ht="35.25" customHeight="1" thickBot="1" x14ac:dyDescent="0.3">
      <c r="A194" s="69" t="s">
        <v>242</v>
      </c>
      <c r="B194" s="11">
        <v>24</v>
      </c>
      <c r="C194" s="11"/>
      <c r="D194" s="41">
        <v>24</v>
      </c>
      <c r="E194" s="11">
        <v>24</v>
      </c>
      <c r="F194" s="85"/>
      <c r="G194" s="12"/>
      <c r="H194" s="29">
        <f t="shared" ref="H194:H199" si="113">B194-E194</f>
        <v>0</v>
      </c>
      <c r="I194" s="57"/>
      <c r="J194" s="57"/>
      <c r="K194" s="79">
        <f t="shared" ref="K194:K199" si="114">(E194-D194)</f>
        <v>0</v>
      </c>
      <c r="L194" s="11"/>
      <c r="M194" s="49"/>
      <c r="N194" s="13"/>
      <c r="O194" s="85"/>
      <c r="P194" s="14"/>
      <c r="Q194" s="17">
        <f t="shared" ref="Q194:Q199" si="115">L194-N194</f>
        <v>0</v>
      </c>
      <c r="R194" s="59"/>
      <c r="S194" s="31">
        <f t="shared" ref="S194:S229" si="116">(N194-M194)</f>
        <v>0</v>
      </c>
    </row>
    <row r="195" spans="1:19" ht="35.25" customHeight="1" thickBot="1" x14ac:dyDescent="0.3">
      <c r="A195" s="69" t="s">
        <v>58</v>
      </c>
      <c r="B195" s="11">
        <v>24</v>
      </c>
      <c r="C195" s="11"/>
      <c r="D195" s="41">
        <v>24</v>
      </c>
      <c r="E195" s="11">
        <v>24</v>
      </c>
      <c r="F195" s="85"/>
      <c r="G195" s="12"/>
      <c r="H195" s="29">
        <f t="shared" si="113"/>
        <v>0</v>
      </c>
      <c r="I195" s="57"/>
      <c r="J195" s="57"/>
      <c r="K195" s="79">
        <f t="shared" si="114"/>
        <v>0</v>
      </c>
      <c r="L195" s="11"/>
      <c r="M195" s="49"/>
      <c r="N195" s="13"/>
      <c r="O195" s="85"/>
      <c r="P195" s="14"/>
      <c r="Q195" s="17">
        <f t="shared" si="115"/>
        <v>0</v>
      </c>
      <c r="R195" s="59"/>
      <c r="S195" s="31">
        <f t="shared" si="116"/>
        <v>0</v>
      </c>
    </row>
    <row r="196" spans="1:19" ht="35.25" customHeight="1" thickBot="1" x14ac:dyDescent="0.3">
      <c r="A196" s="69" t="s">
        <v>264</v>
      </c>
      <c r="B196" s="11">
        <v>50</v>
      </c>
      <c r="C196" s="11" t="s">
        <v>262</v>
      </c>
      <c r="D196" s="41">
        <v>50</v>
      </c>
      <c r="E196" s="11">
        <v>50</v>
      </c>
      <c r="F196" s="85"/>
      <c r="G196" s="12"/>
      <c r="H196" s="29">
        <f t="shared" si="113"/>
        <v>0</v>
      </c>
      <c r="I196" s="57"/>
      <c r="J196" s="57"/>
      <c r="K196" s="79">
        <f t="shared" si="114"/>
        <v>0</v>
      </c>
      <c r="L196" s="11"/>
      <c r="M196" s="49"/>
      <c r="N196" s="13"/>
      <c r="O196" s="85"/>
      <c r="P196" s="14"/>
      <c r="Q196" s="17">
        <f t="shared" si="115"/>
        <v>0</v>
      </c>
      <c r="R196" s="59"/>
      <c r="S196" s="31">
        <f t="shared" si="116"/>
        <v>0</v>
      </c>
    </row>
    <row r="197" spans="1:19" ht="35.25" customHeight="1" thickBot="1" x14ac:dyDescent="0.3">
      <c r="A197" s="69" t="s">
        <v>263</v>
      </c>
      <c r="B197" s="11">
        <v>60</v>
      </c>
      <c r="C197" s="11" t="s">
        <v>262</v>
      </c>
      <c r="D197" s="41">
        <v>60</v>
      </c>
      <c r="E197" s="11">
        <v>60</v>
      </c>
      <c r="F197" s="85"/>
      <c r="G197" s="12"/>
      <c r="H197" s="29">
        <f t="shared" si="113"/>
        <v>0</v>
      </c>
      <c r="I197" s="57"/>
      <c r="J197" s="57"/>
      <c r="K197" s="79">
        <f t="shared" si="114"/>
        <v>0</v>
      </c>
      <c r="L197" s="11">
        <v>10</v>
      </c>
      <c r="M197" s="49">
        <v>10</v>
      </c>
      <c r="N197" s="13">
        <v>10</v>
      </c>
      <c r="O197" s="85" t="s">
        <v>158</v>
      </c>
      <c r="P197" s="14">
        <v>10</v>
      </c>
      <c r="Q197" s="17">
        <f t="shared" si="115"/>
        <v>0</v>
      </c>
      <c r="R197" s="59"/>
      <c r="S197" s="31">
        <f t="shared" si="116"/>
        <v>0</v>
      </c>
    </row>
    <row r="198" spans="1:19" ht="35.25" customHeight="1" thickBot="1" x14ac:dyDescent="0.3">
      <c r="A198" s="69" t="s">
        <v>260</v>
      </c>
      <c r="B198" s="11">
        <v>100</v>
      </c>
      <c r="C198" s="11" t="s">
        <v>259</v>
      </c>
      <c r="D198" s="41">
        <v>100</v>
      </c>
      <c r="E198" s="11">
        <v>100</v>
      </c>
      <c r="F198" s="85"/>
      <c r="G198" s="12"/>
      <c r="H198" s="29">
        <f t="shared" si="113"/>
        <v>0</v>
      </c>
      <c r="I198" s="57"/>
      <c r="J198" s="57"/>
      <c r="K198" s="79">
        <f t="shared" si="114"/>
        <v>0</v>
      </c>
      <c r="L198" s="11"/>
      <c r="M198" s="49"/>
      <c r="N198" s="13"/>
      <c r="O198" s="85"/>
      <c r="P198" s="14"/>
      <c r="Q198" s="17">
        <f t="shared" si="115"/>
        <v>0</v>
      </c>
      <c r="R198" s="59"/>
      <c r="S198" s="31">
        <f t="shared" si="116"/>
        <v>0</v>
      </c>
    </row>
    <row r="199" spans="1:19" ht="35.25" customHeight="1" thickBot="1" x14ac:dyDescent="0.3">
      <c r="A199" s="69" t="s">
        <v>167</v>
      </c>
      <c r="B199" s="11">
        <v>100</v>
      </c>
      <c r="C199" s="11" t="s">
        <v>259</v>
      </c>
      <c r="D199" s="41">
        <v>100</v>
      </c>
      <c r="E199" s="11">
        <v>100</v>
      </c>
      <c r="F199" s="85"/>
      <c r="G199" s="12"/>
      <c r="H199" s="29">
        <f t="shared" si="113"/>
        <v>0</v>
      </c>
      <c r="I199" s="57"/>
      <c r="J199" s="57"/>
      <c r="K199" s="79">
        <f t="shared" si="114"/>
        <v>0</v>
      </c>
      <c r="L199" s="11"/>
      <c r="M199" s="49"/>
      <c r="N199" s="13"/>
      <c r="O199" s="85"/>
      <c r="P199" s="14"/>
      <c r="Q199" s="17">
        <f t="shared" si="115"/>
        <v>0</v>
      </c>
      <c r="R199" s="59"/>
      <c r="S199" s="31">
        <f t="shared" si="116"/>
        <v>0</v>
      </c>
    </row>
    <row r="200" spans="1:19" ht="35.25" customHeight="1" thickBot="1" x14ac:dyDescent="0.3">
      <c r="A200" s="69" t="s">
        <v>253</v>
      </c>
      <c r="B200" s="11">
        <v>150</v>
      </c>
      <c r="C200" s="11" t="s">
        <v>252</v>
      </c>
      <c r="D200" s="41">
        <v>150</v>
      </c>
      <c r="E200" s="11">
        <v>150</v>
      </c>
      <c r="F200" s="85"/>
      <c r="G200" s="12">
        <v>150</v>
      </c>
      <c r="H200" s="29">
        <f t="shared" ref="H200:H205" si="117">B200-E200</f>
        <v>0</v>
      </c>
      <c r="I200" s="57"/>
      <c r="J200" s="57"/>
      <c r="K200" s="79">
        <f t="shared" ref="K200:K205" si="118">(E200-D200)</f>
        <v>0</v>
      </c>
      <c r="L200" s="11"/>
      <c r="M200" s="49"/>
      <c r="N200" s="13"/>
      <c r="O200" s="85"/>
      <c r="P200" s="14"/>
      <c r="Q200" s="17">
        <f t="shared" si="9"/>
        <v>0</v>
      </c>
      <c r="R200" s="59"/>
      <c r="S200" s="31">
        <f t="shared" ref="S200:S205" si="119">(N200-M200)</f>
        <v>0</v>
      </c>
    </row>
    <row r="201" spans="1:19" ht="35.25" customHeight="1" thickBot="1" x14ac:dyDescent="0.3">
      <c r="A201" s="69" t="s">
        <v>155</v>
      </c>
      <c r="B201" s="11">
        <v>150</v>
      </c>
      <c r="C201" s="11" t="s">
        <v>257</v>
      </c>
      <c r="D201" s="41">
        <v>150</v>
      </c>
      <c r="E201" s="11">
        <v>150</v>
      </c>
      <c r="F201" s="85" t="s">
        <v>258</v>
      </c>
      <c r="G201" s="12">
        <v>150</v>
      </c>
      <c r="H201" s="29">
        <f t="shared" si="117"/>
        <v>0</v>
      </c>
      <c r="I201" s="57"/>
      <c r="J201" s="57"/>
      <c r="K201" s="79">
        <f t="shared" si="118"/>
        <v>0</v>
      </c>
      <c r="L201" s="11"/>
      <c r="M201" s="49"/>
      <c r="N201" s="13"/>
      <c r="O201" s="85"/>
      <c r="P201" s="14"/>
      <c r="Q201" s="17">
        <f t="shared" si="9"/>
        <v>0</v>
      </c>
      <c r="R201" s="59"/>
      <c r="S201" s="31">
        <f t="shared" si="119"/>
        <v>0</v>
      </c>
    </row>
    <row r="202" spans="1:19" ht="34.5" customHeight="1" thickBot="1" x14ac:dyDescent="0.3">
      <c r="A202" s="69" t="s">
        <v>155</v>
      </c>
      <c r="B202" s="11">
        <v>200</v>
      </c>
      <c r="C202" s="11" t="s">
        <v>138</v>
      </c>
      <c r="D202" s="41">
        <v>200</v>
      </c>
      <c r="E202" s="11">
        <v>200</v>
      </c>
      <c r="F202" s="85" t="s">
        <v>61</v>
      </c>
      <c r="G202" s="20"/>
      <c r="H202" s="17">
        <f t="shared" si="117"/>
        <v>0</v>
      </c>
      <c r="I202" s="59"/>
      <c r="J202" s="59"/>
      <c r="K202" s="79">
        <f t="shared" si="118"/>
        <v>0</v>
      </c>
      <c r="L202" s="12"/>
      <c r="M202" s="49"/>
      <c r="N202" s="13"/>
      <c r="O202" s="85"/>
      <c r="P202" s="14"/>
      <c r="Q202" s="17">
        <f>L202-N202</f>
        <v>0</v>
      </c>
      <c r="R202" s="59"/>
      <c r="S202" s="31">
        <f t="shared" si="119"/>
        <v>0</v>
      </c>
    </row>
    <row r="203" spans="1:19" ht="35.25" customHeight="1" thickBot="1" x14ac:dyDescent="0.3">
      <c r="A203" s="69" t="s">
        <v>155</v>
      </c>
      <c r="B203" s="11">
        <v>451</v>
      </c>
      <c r="C203" s="11" t="s">
        <v>138</v>
      </c>
      <c r="D203" s="41">
        <v>457</v>
      </c>
      <c r="E203" s="11">
        <v>457</v>
      </c>
      <c r="F203" s="85"/>
      <c r="G203" s="20"/>
      <c r="H203" s="17">
        <f t="shared" si="117"/>
        <v>-6</v>
      </c>
      <c r="I203" s="59"/>
      <c r="J203" s="59"/>
      <c r="K203" s="79">
        <f t="shared" si="118"/>
        <v>0</v>
      </c>
      <c r="L203" s="23">
        <v>102</v>
      </c>
      <c r="M203" s="49">
        <v>102</v>
      </c>
      <c r="N203" s="13">
        <v>102</v>
      </c>
      <c r="O203" s="85"/>
      <c r="P203" s="14"/>
      <c r="Q203" s="17">
        <f>L203-N203</f>
        <v>0</v>
      </c>
      <c r="R203" s="59"/>
      <c r="S203" s="31">
        <f t="shared" si="119"/>
        <v>0</v>
      </c>
    </row>
    <row r="204" spans="1:19" ht="35.25" customHeight="1" thickBot="1" x14ac:dyDescent="0.3">
      <c r="A204" s="69" t="s">
        <v>125</v>
      </c>
      <c r="B204" s="11">
        <v>60</v>
      </c>
      <c r="C204" s="11" t="s">
        <v>256</v>
      </c>
      <c r="D204" s="41">
        <v>60</v>
      </c>
      <c r="E204" s="11">
        <v>60</v>
      </c>
      <c r="F204" s="85"/>
      <c r="G204" s="12">
        <v>60</v>
      </c>
      <c r="H204" s="29">
        <f t="shared" si="117"/>
        <v>0</v>
      </c>
      <c r="I204" s="57"/>
      <c r="J204" s="57"/>
      <c r="K204" s="79">
        <f t="shared" si="118"/>
        <v>0</v>
      </c>
      <c r="L204" s="11"/>
      <c r="M204" s="49"/>
      <c r="N204" s="13"/>
      <c r="O204" s="85"/>
      <c r="P204" s="14"/>
      <c r="Q204" s="17">
        <f t="shared" si="9"/>
        <v>0</v>
      </c>
      <c r="R204" s="59"/>
      <c r="S204" s="31">
        <f t="shared" si="119"/>
        <v>0</v>
      </c>
    </row>
    <row r="205" spans="1:19" ht="35.25" customHeight="1" thickBot="1" x14ac:dyDescent="0.3">
      <c r="A205" s="69" t="s">
        <v>58</v>
      </c>
      <c r="B205" s="11">
        <v>30</v>
      </c>
      <c r="C205" s="11" t="s">
        <v>256</v>
      </c>
      <c r="D205" s="41">
        <v>30</v>
      </c>
      <c r="E205" s="11">
        <v>30</v>
      </c>
      <c r="F205" s="85"/>
      <c r="G205" s="12">
        <v>30</v>
      </c>
      <c r="H205" s="29">
        <f t="shared" si="117"/>
        <v>0</v>
      </c>
      <c r="I205" s="57"/>
      <c r="J205" s="57"/>
      <c r="K205" s="79">
        <f t="shared" si="118"/>
        <v>0</v>
      </c>
      <c r="L205" s="11"/>
      <c r="M205" s="49"/>
      <c r="N205" s="13"/>
      <c r="O205" s="85"/>
      <c r="P205" s="14"/>
      <c r="Q205" s="17">
        <f t="shared" si="9"/>
        <v>0</v>
      </c>
      <c r="R205" s="59"/>
      <c r="S205" s="31">
        <f t="shared" si="119"/>
        <v>0</v>
      </c>
    </row>
    <row r="206" spans="1:19" ht="35.25" customHeight="1" thickBot="1" x14ac:dyDescent="0.3">
      <c r="A206" s="69" t="s">
        <v>177</v>
      </c>
      <c r="B206" s="11">
        <v>0</v>
      </c>
      <c r="C206" s="11" t="s">
        <v>261</v>
      </c>
      <c r="D206" s="41"/>
      <c r="E206" s="11"/>
      <c r="F206" s="85"/>
      <c r="G206" s="12"/>
      <c r="H206" s="29">
        <f t="shared" ref="H206:H211" si="120">B206-E206</f>
        <v>0</v>
      </c>
      <c r="I206" s="57"/>
      <c r="J206" s="57"/>
      <c r="K206" s="79">
        <f t="shared" ref="K206:K211" si="121">(E206-D206)</f>
        <v>0</v>
      </c>
      <c r="L206" s="11">
        <v>37</v>
      </c>
      <c r="M206" s="49">
        <v>37</v>
      </c>
      <c r="N206" s="13">
        <v>37</v>
      </c>
      <c r="O206" s="85"/>
      <c r="P206" s="14"/>
      <c r="Q206" s="17">
        <f t="shared" si="9"/>
        <v>0</v>
      </c>
      <c r="R206" s="59"/>
      <c r="S206" s="31">
        <f t="shared" ref="S206:S211" si="122">(N206-M206)</f>
        <v>0</v>
      </c>
    </row>
    <row r="207" spans="1:19" ht="35.25" customHeight="1" thickBot="1" x14ac:dyDescent="0.3">
      <c r="A207" s="69" t="s">
        <v>227</v>
      </c>
      <c r="B207" s="11">
        <v>230</v>
      </c>
      <c r="C207" s="11" t="s">
        <v>252</v>
      </c>
      <c r="D207" s="41">
        <v>230</v>
      </c>
      <c r="E207" s="11">
        <v>230</v>
      </c>
      <c r="F207" s="85"/>
      <c r="G207" s="12"/>
      <c r="H207" s="29">
        <f t="shared" si="120"/>
        <v>0</v>
      </c>
      <c r="I207" s="57"/>
      <c r="J207" s="57"/>
      <c r="K207" s="79">
        <f t="shared" si="121"/>
        <v>0</v>
      </c>
      <c r="L207" s="11"/>
      <c r="M207" s="49"/>
      <c r="N207" s="13"/>
      <c r="O207" s="85"/>
      <c r="P207" s="14"/>
      <c r="Q207" s="17">
        <f t="shared" si="9"/>
        <v>0</v>
      </c>
      <c r="R207" s="59"/>
      <c r="S207" s="31">
        <f t="shared" si="122"/>
        <v>0</v>
      </c>
    </row>
    <row r="208" spans="1:19" ht="35.25" customHeight="1" thickBot="1" x14ac:dyDescent="0.3">
      <c r="A208" s="69" t="s">
        <v>177</v>
      </c>
      <c r="B208" s="11">
        <v>1338</v>
      </c>
      <c r="C208" s="11" t="s">
        <v>240</v>
      </c>
      <c r="D208" s="41">
        <v>1338</v>
      </c>
      <c r="E208" s="11">
        <v>1338</v>
      </c>
      <c r="F208" s="85"/>
      <c r="G208" s="12"/>
      <c r="H208" s="29">
        <f t="shared" si="120"/>
        <v>0</v>
      </c>
      <c r="I208" s="57"/>
      <c r="J208" s="57"/>
      <c r="K208" s="79">
        <f t="shared" si="121"/>
        <v>0</v>
      </c>
      <c r="L208" s="11">
        <v>13</v>
      </c>
      <c r="M208" s="49">
        <v>13</v>
      </c>
      <c r="N208" s="13">
        <v>13</v>
      </c>
      <c r="O208" s="85"/>
      <c r="P208" s="14"/>
      <c r="Q208" s="17">
        <f t="shared" si="9"/>
        <v>0</v>
      </c>
      <c r="R208" s="59"/>
      <c r="S208" s="31">
        <f t="shared" si="122"/>
        <v>0</v>
      </c>
    </row>
    <row r="209" spans="1:19" ht="35.25" customHeight="1" thickBot="1" x14ac:dyDescent="0.3">
      <c r="A209" s="69" t="s">
        <v>241</v>
      </c>
      <c r="B209" s="11">
        <v>1200</v>
      </c>
      <c r="C209" s="11" t="s">
        <v>240</v>
      </c>
      <c r="D209" s="41">
        <v>1200</v>
      </c>
      <c r="E209" s="11">
        <v>1200</v>
      </c>
      <c r="F209" s="85"/>
      <c r="G209" s="12"/>
      <c r="H209" s="29">
        <f t="shared" si="120"/>
        <v>0</v>
      </c>
      <c r="I209" s="57"/>
      <c r="J209" s="57"/>
      <c r="K209" s="79">
        <f t="shared" si="121"/>
        <v>0</v>
      </c>
      <c r="L209" s="11">
        <v>12</v>
      </c>
      <c r="M209" s="49">
        <v>12</v>
      </c>
      <c r="N209" s="13">
        <v>12</v>
      </c>
      <c r="O209" s="85" t="s">
        <v>158</v>
      </c>
      <c r="P209" s="14">
        <v>6</v>
      </c>
      <c r="Q209" s="17">
        <f t="shared" si="9"/>
        <v>0</v>
      </c>
      <c r="R209" s="59"/>
      <c r="S209" s="31">
        <f t="shared" si="122"/>
        <v>0</v>
      </c>
    </row>
    <row r="210" spans="1:19" ht="35.25" customHeight="1" thickBot="1" x14ac:dyDescent="0.3">
      <c r="A210" s="69" t="s">
        <v>21</v>
      </c>
      <c r="B210" s="11">
        <v>50</v>
      </c>
      <c r="C210" s="11" t="s">
        <v>250</v>
      </c>
      <c r="D210" s="41">
        <v>50</v>
      </c>
      <c r="E210" s="11">
        <v>50</v>
      </c>
      <c r="F210" s="85"/>
      <c r="G210" s="12"/>
      <c r="H210" s="29">
        <f t="shared" si="120"/>
        <v>0</v>
      </c>
      <c r="I210" s="57"/>
      <c r="J210" s="57"/>
      <c r="K210" s="79">
        <f t="shared" si="121"/>
        <v>0</v>
      </c>
      <c r="L210" s="11"/>
      <c r="M210" s="49"/>
      <c r="N210" s="13"/>
      <c r="O210" s="85"/>
      <c r="P210" s="14"/>
      <c r="Q210" s="17">
        <f t="shared" si="9"/>
        <v>0</v>
      </c>
      <c r="R210" s="59"/>
      <c r="S210" s="31">
        <f t="shared" si="122"/>
        <v>0</v>
      </c>
    </row>
    <row r="211" spans="1:19" ht="35.25" customHeight="1" thickBot="1" x14ac:dyDescent="0.3">
      <c r="A211" s="69" t="s">
        <v>194</v>
      </c>
      <c r="B211" s="11">
        <v>34</v>
      </c>
      <c r="C211" s="11" t="s">
        <v>255</v>
      </c>
      <c r="D211" s="41">
        <v>34</v>
      </c>
      <c r="E211" s="11">
        <v>34</v>
      </c>
      <c r="F211" s="85"/>
      <c r="G211" s="12"/>
      <c r="H211" s="29">
        <f t="shared" si="120"/>
        <v>0</v>
      </c>
      <c r="I211" s="57"/>
      <c r="J211" s="57"/>
      <c r="K211" s="79">
        <f t="shared" si="121"/>
        <v>0</v>
      </c>
      <c r="L211" s="11"/>
      <c r="M211" s="49"/>
      <c r="N211" s="13"/>
      <c r="O211" s="85"/>
      <c r="P211" s="14"/>
      <c r="Q211" s="17">
        <f t="shared" si="9"/>
        <v>0</v>
      </c>
      <c r="R211" s="59"/>
      <c r="S211" s="31">
        <f t="shared" si="122"/>
        <v>0</v>
      </c>
    </row>
    <row r="212" spans="1:19" ht="35.25" customHeight="1" thickBot="1" x14ac:dyDescent="0.3">
      <c r="A212" s="69" t="s">
        <v>221</v>
      </c>
      <c r="B212" s="11">
        <v>940</v>
      </c>
      <c r="C212" s="11" t="s">
        <v>222</v>
      </c>
      <c r="D212" s="41">
        <v>940</v>
      </c>
      <c r="E212" s="11">
        <v>940</v>
      </c>
      <c r="F212" s="85"/>
      <c r="G212" s="12"/>
      <c r="H212" s="29">
        <f t="shared" ref="H212:H217" si="123">B212-E212</f>
        <v>0</v>
      </c>
      <c r="I212" s="57"/>
      <c r="J212" s="57"/>
      <c r="K212" s="79">
        <f t="shared" ref="K212:K217" si="124">(E212-D212)</f>
        <v>0</v>
      </c>
      <c r="L212" s="11">
        <v>100</v>
      </c>
      <c r="M212" s="49">
        <v>100</v>
      </c>
      <c r="N212" s="13">
        <v>100</v>
      </c>
      <c r="O212" s="85"/>
      <c r="P212" s="14"/>
      <c r="Q212" s="17">
        <f t="shared" si="9"/>
        <v>0</v>
      </c>
      <c r="R212" s="59"/>
      <c r="S212" s="31">
        <f t="shared" ref="S212:S217" si="125">(N212-M212)</f>
        <v>0</v>
      </c>
    </row>
    <row r="213" spans="1:19" ht="35.25" customHeight="1" thickBot="1" x14ac:dyDescent="0.3">
      <c r="A213" s="69" t="s">
        <v>247</v>
      </c>
      <c r="B213" s="11">
        <v>15</v>
      </c>
      <c r="C213" s="11"/>
      <c r="D213" s="41">
        <v>15</v>
      </c>
      <c r="E213" s="11">
        <v>15</v>
      </c>
      <c r="F213" s="85"/>
      <c r="G213" s="12"/>
      <c r="H213" s="29">
        <f t="shared" si="123"/>
        <v>0</v>
      </c>
      <c r="I213" s="57"/>
      <c r="J213" s="57"/>
      <c r="K213" s="79">
        <f t="shared" si="124"/>
        <v>0</v>
      </c>
      <c r="L213" s="11"/>
      <c r="M213" s="49"/>
      <c r="N213" s="13"/>
      <c r="O213" s="85"/>
      <c r="P213" s="14"/>
      <c r="Q213" s="17">
        <f t="shared" si="9"/>
        <v>0</v>
      </c>
      <c r="R213" s="59"/>
      <c r="S213" s="31">
        <f t="shared" si="125"/>
        <v>0</v>
      </c>
    </row>
    <row r="214" spans="1:19" ht="35.25" customHeight="1" thickBot="1" x14ac:dyDescent="0.3">
      <c r="A214" s="69" t="s">
        <v>247</v>
      </c>
      <c r="B214" s="11">
        <v>120</v>
      </c>
      <c r="C214" s="11" t="s">
        <v>248</v>
      </c>
      <c r="D214" s="41">
        <v>120</v>
      </c>
      <c r="E214" s="11">
        <v>120</v>
      </c>
      <c r="F214" s="85"/>
      <c r="G214" s="12"/>
      <c r="H214" s="29">
        <f t="shared" si="123"/>
        <v>0</v>
      </c>
      <c r="I214" s="57"/>
      <c r="J214" s="57"/>
      <c r="K214" s="79">
        <f t="shared" si="124"/>
        <v>0</v>
      </c>
      <c r="L214" s="11">
        <v>30</v>
      </c>
      <c r="M214" s="49">
        <v>30</v>
      </c>
      <c r="N214" s="13">
        <v>30</v>
      </c>
      <c r="O214" s="85"/>
      <c r="P214" s="14"/>
      <c r="Q214" s="17">
        <f t="shared" si="9"/>
        <v>0</v>
      </c>
      <c r="R214" s="59"/>
      <c r="S214" s="31">
        <f t="shared" si="125"/>
        <v>0</v>
      </c>
    </row>
    <row r="215" spans="1:19" ht="35.25" customHeight="1" thickBot="1" x14ac:dyDescent="0.3">
      <c r="A215" s="69" t="s">
        <v>247</v>
      </c>
      <c r="B215" s="11">
        <v>0</v>
      </c>
      <c r="C215" s="11" t="s">
        <v>248</v>
      </c>
      <c r="D215" s="41"/>
      <c r="E215" s="11"/>
      <c r="F215" s="85"/>
      <c r="G215" s="12"/>
      <c r="H215" s="29">
        <f t="shared" si="123"/>
        <v>0</v>
      </c>
      <c r="I215" s="57"/>
      <c r="J215" s="57"/>
      <c r="K215" s="79">
        <f t="shared" si="124"/>
        <v>0</v>
      </c>
      <c r="L215" s="11">
        <v>50</v>
      </c>
      <c r="M215" s="49">
        <v>50</v>
      </c>
      <c r="N215" s="13">
        <v>50</v>
      </c>
      <c r="O215" s="85" t="s">
        <v>39</v>
      </c>
      <c r="P215" s="14"/>
      <c r="Q215" s="17">
        <f t="shared" si="9"/>
        <v>0</v>
      </c>
      <c r="R215" s="59"/>
      <c r="S215" s="31">
        <f t="shared" si="125"/>
        <v>0</v>
      </c>
    </row>
    <row r="216" spans="1:19" ht="35.25" customHeight="1" thickBot="1" x14ac:dyDescent="0.3">
      <c r="A216" s="69" t="s">
        <v>236</v>
      </c>
      <c r="B216" s="11">
        <v>0</v>
      </c>
      <c r="C216" s="11" t="s">
        <v>243</v>
      </c>
      <c r="D216" s="41"/>
      <c r="E216" s="11"/>
      <c r="F216" s="85"/>
      <c r="G216" s="12"/>
      <c r="H216" s="29">
        <f t="shared" si="123"/>
        <v>0</v>
      </c>
      <c r="I216" s="57"/>
      <c r="J216" s="57"/>
      <c r="K216" s="79">
        <f t="shared" si="124"/>
        <v>0</v>
      </c>
      <c r="L216" s="11">
        <v>150</v>
      </c>
      <c r="M216" s="49">
        <v>150</v>
      </c>
      <c r="N216" s="13">
        <v>150</v>
      </c>
      <c r="O216" s="85"/>
      <c r="P216" s="14"/>
      <c r="Q216" s="17">
        <f t="shared" si="9"/>
        <v>0</v>
      </c>
      <c r="R216" s="59"/>
      <c r="S216" s="31">
        <f t="shared" si="125"/>
        <v>0</v>
      </c>
    </row>
    <row r="217" spans="1:19" ht="35.25" customHeight="1" thickBot="1" x14ac:dyDescent="0.3">
      <c r="A217" s="69" t="s">
        <v>236</v>
      </c>
      <c r="B217" s="11">
        <v>150</v>
      </c>
      <c r="C217" s="11" t="s">
        <v>237</v>
      </c>
      <c r="D217" s="41">
        <v>150</v>
      </c>
      <c r="E217" s="11">
        <v>150</v>
      </c>
      <c r="F217" s="85"/>
      <c r="G217" s="12"/>
      <c r="H217" s="29">
        <f t="shared" si="123"/>
        <v>0</v>
      </c>
      <c r="I217" s="57"/>
      <c r="J217" s="57"/>
      <c r="K217" s="79">
        <f t="shared" si="124"/>
        <v>0</v>
      </c>
      <c r="L217" s="11"/>
      <c r="M217" s="49"/>
      <c r="N217" s="13"/>
      <c r="O217" s="85"/>
      <c r="P217" s="14"/>
      <c r="Q217" s="17">
        <f t="shared" si="9"/>
        <v>0</v>
      </c>
      <c r="R217" s="59"/>
      <c r="S217" s="31">
        <f t="shared" si="125"/>
        <v>0</v>
      </c>
    </row>
    <row r="218" spans="1:19" ht="35.25" customHeight="1" thickBot="1" x14ac:dyDescent="0.3">
      <c r="A218" s="69" t="s">
        <v>64</v>
      </c>
      <c r="B218" s="11">
        <v>1000</v>
      </c>
      <c r="C218" s="11" t="s">
        <v>70</v>
      </c>
      <c r="D218" s="41">
        <v>1000</v>
      </c>
      <c r="E218" s="11">
        <v>1000</v>
      </c>
      <c r="F218" s="85"/>
      <c r="G218" s="12"/>
      <c r="H218" s="29">
        <f t="shared" si="15"/>
        <v>0</v>
      </c>
      <c r="I218" s="57"/>
      <c r="J218" s="57"/>
      <c r="K218" s="79">
        <f t="shared" si="16"/>
        <v>0</v>
      </c>
      <c r="L218" s="11">
        <v>1000</v>
      </c>
      <c r="M218" s="49">
        <v>1008</v>
      </c>
      <c r="N218" s="13">
        <v>1008</v>
      </c>
      <c r="O218" s="85"/>
      <c r="P218" s="14"/>
      <c r="Q218" s="17">
        <f t="shared" si="9"/>
        <v>-8</v>
      </c>
      <c r="R218" s="59"/>
      <c r="S218" s="31">
        <f t="shared" si="116"/>
        <v>0</v>
      </c>
    </row>
    <row r="219" spans="1:19" ht="35.25" customHeight="1" thickBot="1" x14ac:dyDescent="0.3">
      <c r="A219" s="69" t="s">
        <v>244</v>
      </c>
      <c r="B219" s="11">
        <v>90</v>
      </c>
      <c r="C219" s="11" t="s">
        <v>245</v>
      </c>
      <c r="D219" s="41">
        <v>90</v>
      </c>
      <c r="E219" s="11">
        <v>90</v>
      </c>
      <c r="F219" s="85"/>
      <c r="G219" s="12"/>
      <c r="H219" s="29">
        <f>B219-E219</f>
        <v>0</v>
      </c>
      <c r="I219" s="57"/>
      <c r="J219" s="57"/>
      <c r="K219" s="79">
        <f>(E219-D219)</f>
        <v>0</v>
      </c>
      <c r="L219" s="11"/>
      <c r="M219" s="49"/>
      <c r="N219" s="13"/>
      <c r="O219" s="85"/>
      <c r="P219" s="14"/>
      <c r="Q219" s="17">
        <f t="shared" si="9"/>
        <v>0</v>
      </c>
      <c r="R219" s="59"/>
      <c r="S219" s="31">
        <f t="shared" ref="S219:S226" si="126">(N219-M219)</f>
        <v>0</v>
      </c>
    </row>
    <row r="220" spans="1:19" ht="35.25" customHeight="1" thickBot="1" x14ac:dyDescent="0.3">
      <c r="A220" s="69" t="s">
        <v>148</v>
      </c>
      <c r="B220" s="11">
        <v>890</v>
      </c>
      <c r="C220" s="11" t="s">
        <v>234</v>
      </c>
      <c r="D220" s="41">
        <v>890</v>
      </c>
      <c r="E220" s="11">
        <v>890</v>
      </c>
      <c r="F220" s="85"/>
      <c r="G220" s="12"/>
      <c r="H220" s="29">
        <f>B220-E220</f>
        <v>0</v>
      </c>
      <c r="I220" s="57"/>
      <c r="J220" s="57"/>
      <c r="K220" s="79">
        <f>(E220-D220)</f>
        <v>0</v>
      </c>
      <c r="L220" s="11"/>
      <c r="M220" s="49"/>
      <c r="N220" s="13"/>
      <c r="O220" s="85"/>
      <c r="P220" s="14"/>
      <c r="Q220" s="17">
        <f t="shared" si="9"/>
        <v>0</v>
      </c>
      <c r="R220" s="59"/>
      <c r="S220" s="31">
        <f t="shared" si="126"/>
        <v>0</v>
      </c>
    </row>
    <row r="221" spans="1:19" ht="35.25" customHeight="1" thickBot="1" x14ac:dyDescent="0.3">
      <c r="A221" s="69" t="s">
        <v>242</v>
      </c>
      <c r="B221" s="11">
        <v>24</v>
      </c>
      <c r="C221" s="11" t="s">
        <v>240</v>
      </c>
      <c r="D221" s="41">
        <v>24</v>
      </c>
      <c r="E221" s="11">
        <v>24</v>
      </c>
      <c r="F221" s="85"/>
      <c r="G221" s="12"/>
      <c r="H221" s="29">
        <f>B221-E221</f>
        <v>0</v>
      </c>
      <c r="I221" s="57"/>
      <c r="J221" s="57"/>
      <c r="K221" s="79">
        <f>(E221-D221)</f>
        <v>0</v>
      </c>
      <c r="L221" s="11"/>
      <c r="M221" s="49"/>
      <c r="N221" s="13"/>
      <c r="O221" s="85"/>
      <c r="P221" s="14"/>
      <c r="Q221" s="17">
        <f t="shared" si="9"/>
        <v>0</v>
      </c>
      <c r="R221" s="59"/>
      <c r="S221" s="31">
        <f t="shared" si="126"/>
        <v>0</v>
      </c>
    </row>
    <row r="222" spans="1:19" ht="35.25" customHeight="1" thickBot="1" x14ac:dyDescent="0.3">
      <c r="A222" s="69" t="s">
        <v>15</v>
      </c>
      <c r="B222" s="11">
        <v>48</v>
      </c>
      <c r="C222" s="11" t="s">
        <v>239</v>
      </c>
      <c r="D222" s="41">
        <v>48</v>
      </c>
      <c r="E222" s="11">
        <v>48</v>
      </c>
      <c r="F222" s="85"/>
      <c r="G222" s="12"/>
      <c r="H222" s="29">
        <f t="shared" si="15"/>
        <v>0</v>
      </c>
      <c r="I222" s="57"/>
      <c r="J222" s="57"/>
      <c r="K222" s="79">
        <f t="shared" si="16"/>
        <v>0</v>
      </c>
      <c r="L222" s="11">
        <v>154</v>
      </c>
      <c r="M222" s="49">
        <v>154</v>
      </c>
      <c r="N222" s="13">
        <v>154</v>
      </c>
      <c r="O222" s="85"/>
      <c r="P222" s="14"/>
      <c r="Q222" s="17">
        <f t="shared" si="9"/>
        <v>0</v>
      </c>
      <c r="R222" s="59"/>
      <c r="S222" s="31">
        <f t="shared" si="126"/>
        <v>0</v>
      </c>
    </row>
    <row r="223" spans="1:19" ht="35.25" customHeight="1" thickBot="1" x14ac:dyDescent="0.3">
      <c r="A223" s="69" t="s">
        <v>238</v>
      </c>
      <c r="B223" s="11"/>
      <c r="C223" s="11"/>
      <c r="D223" s="41"/>
      <c r="E223" s="11"/>
      <c r="F223" s="85"/>
      <c r="G223" s="12"/>
      <c r="H223" s="29">
        <f>B223-E223</f>
        <v>0</v>
      </c>
      <c r="I223" s="57"/>
      <c r="J223" s="57"/>
      <c r="K223" s="79">
        <f>(E223-D223)</f>
        <v>0</v>
      </c>
      <c r="L223" s="11">
        <v>30</v>
      </c>
      <c r="M223" s="49">
        <v>30</v>
      </c>
      <c r="N223" s="13">
        <v>30</v>
      </c>
      <c r="O223" s="85" t="s">
        <v>158</v>
      </c>
      <c r="P223" s="14"/>
      <c r="Q223" s="17">
        <f t="shared" si="9"/>
        <v>0</v>
      </c>
      <c r="R223" s="59"/>
      <c r="S223" s="31">
        <f>(N223-M223)</f>
        <v>0</v>
      </c>
    </row>
    <row r="224" spans="1:19" ht="34.5" customHeight="1" thickBot="1" x14ac:dyDescent="0.3">
      <c r="A224" s="69" t="s">
        <v>238</v>
      </c>
      <c r="B224" s="11">
        <v>60</v>
      </c>
      <c r="C224" s="11" t="s">
        <v>237</v>
      </c>
      <c r="D224" s="41">
        <v>60</v>
      </c>
      <c r="E224" s="11">
        <v>60</v>
      </c>
      <c r="F224" s="85"/>
      <c r="G224" s="12"/>
      <c r="H224" s="29">
        <f t="shared" si="15"/>
        <v>0</v>
      </c>
      <c r="I224" s="57"/>
      <c r="J224" s="57"/>
      <c r="K224" s="79">
        <f t="shared" si="16"/>
        <v>0</v>
      </c>
      <c r="L224" s="11">
        <v>80</v>
      </c>
      <c r="M224" s="49">
        <v>80</v>
      </c>
      <c r="N224" s="13">
        <v>80</v>
      </c>
      <c r="O224" s="85"/>
      <c r="P224" s="14"/>
      <c r="Q224" s="17">
        <f t="shared" si="9"/>
        <v>0</v>
      </c>
      <c r="R224" s="59"/>
      <c r="S224" s="31">
        <f t="shared" si="126"/>
        <v>0</v>
      </c>
    </row>
    <row r="225" spans="1:19" ht="35.25" customHeight="1" thickBot="1" x14ac:dyDescent="0.3">
      <c r="A225" s="69" t="s">
        <v>229</v>
      </c>
      <c r="B225" s="11">
        <v>100</v>
      </c>
      <c r="C225" s="11" t="s">
        <v>230</v>
      </c>
      <c r="D225" s="41">
        <v>100</v>
      </c>
      <c r="E225" s="11">
        <v>100</v>
      </c>
      <c r="F225" s="85"/>
      <c r="G225" s="12"/>
      <c r="H225" s="29">
        <f t="shared" si="15"/>
        <v>0</v>
      </c>
      <c r="I225" s="57"/>
      <c r="J225" s="57"/>
      <c r="K225" s="79">
        <f t="shared" si="16"/>
        <v>0</v>
      </c>
      <c r="L225" s="11">
        <v>30</v>
      </c>
      <c r="M225" s="49">
        <v>30</v>
      </c>
      <c r="N225" s="13">
        <v>30</v>
      </c>
      <c r="O225" s="85" t="s">
        <v>158</v>
      </c>
      <c r="P225" s="14"/>
      <c r="Q225" s="17">
        <f t="shared" si="9"/>
        <v>0</v>
      </c>
      <c r="R225" s="59"/>
      <c r="S225" s="31">
        <f t="shared" si="126"/>
        <v>0</v>
      </c>
    </row>
    <row r="226" spans="1:19" ht="35.25" customHeight="1" thickBot="1" x14ac:dyDescent="0.3">
      <c r="A226" s="69" t="s">
        <v>225</v>
      </c>
      <c r="B226" s="11">
        <v>150</v>
      </c>
      <c r="C226" s="11" t="s">
        <v>226</v>
      </c>
      <c r="D226" s="41">
        <v>150</v>
      </c>
      <c r="E226" s="11">
        <v>150</v>
      </c>
      <c r="F226" s="85"/>
      <c r="G226" s="12"/>
      <c r="H226" s="29">
        <f t="shared" si="15"/>
        <v>0</v>
      </c>
      <c r="I226" s="57"/>
      <c r="J226" s="57"/>
      <c r="K226" s="79">
        <f t="shared" si="16"/>
        <v>0</v>
      </c>
      <c r="L226" s="11">
        <v>10</v>
      </c>
      <c r="M226" s="49">
        <v>10</v>
      </c>
      <c r="N226" s="13">
        <v>10</v>
      </c>
      <c r="O226" s="85"/>
      <c r="P226" s="14"/>
      <c r="Q226" s="17">
        <f t="shared" si="9"/>
        <v>0</v>
      </c>
      <c r="R226" s="59"/>
      <c r="S226" s="31">
        <f t="shared" si="126"/>
        <v>0</v>
      </c>
    </row>
    <row r="227" spans="1:19" ht="35.25" customHeight="1" thickBot="1" x14ac:dyDescent="0.3">
      <c r="A227" s="70" t="s">
        <v>199</v>
      </c>
      <c r="B227" s="33"/>
      <c r="C227" s="33"/>
      <c r="D227" s="40"/>
      <c r="E227" s="33"/>
      <c r="F227" s="86"/>
      <c r="G227" s="35"/>
      <c r="H227" s="38">
        <f t="shared" si="15"/>
        <v>0</v>
      </c>
      <c r="I227" s="58"/>
      <c r="J227" s="58"/>
      <c r="K227" s="79">
        <f t="shared" si="16"/>
        <v>0</v>
      </c>
      <c r="L227" s="33">
        <v>1</v>
      </c>
      <c r="M227" s="48">
        <v>1</v>
      </c>
      <c r="N227" s="34">
        <v>1</v>
      </c>
      <c r="O227" s="86" t="s">
        <v>158</v>
      </c>
      <c r="P227" s="36"/>
      <c r="Q227" s="37">
        <f t="shared" si="9"/>
        <v>0</v>
      </c>
      <c r="R227" s="64"/>
      <c r="S227" s="31">
        <f t="shared" si="116"/>
        <v>0</v>
      </c>
    </row>
    <row r="228" spans="1:19" ht="35.25" customHeight="1" thickBot="1" x14ac:dyDescent="0.3">
      <c r="A228" s="69" t="s">
        <v>15</v>
      </c>
      <c r="B228" s="11">
        <v>48</v>
      </c>
      <c r="C228" s="11" t="s">
        <v>239</v>
      </c>
      <c r="D228" s="41">
        <v>48</v>
      </c>
      <c r="E228" s="11">
        <v>48</v>
      </c>
      <c r="F228" s="85"/>
      <c r="G228" s="12"/>
      <c r="H228" s="29">
        <f t="shared" si="15"/>
        <v>0</v>
      </c>
      <c r="I228" s="57"/>
      <c r="J228" s="57"/>
      <c r="K228" s="79">
        <f t="shared" si="16"/>
        <v>0</v>
      </c>
      <c r="L228" s="11">
        <v>154</v>
      </c>
      <c r="M228" s="49">
        <v>154</v>
      </c>
      <c r="N228" s="13">
        <v>154</v>
      </c>
      <c r="O228" s="85"/>
      <c r="P228" s="14"/>
      <c r="Q228" s="17">
        <f t="shared" si="9"/>
        <v>0</v>
      </c>
      <c r="R228" s="59"/>
      <c r="S228" s="31">
        <f t="shared" si="116"/>
        <v>0</v>
      </c>
    </row>
    <row r="229" spans="1:19" ht="35.25" customHeight="1" thickBot="1" x14ac:dyDescent="0.3">
      <c r="A229" s="69" t="s">
        <v>235</v>
      </c>
      <c r="B229" s="11"/>
      <c r="C229" s="11" t="s">
        <v>237</v>
      </c>
      <c r="D229" s="41"/>
      <c r="E229" s="11"/>
      <c r="F229" s="85"/>
      <c r="G229" s="12"/>
      <c r="H229" s="29">
        <f t="shared" si="15"/>
        <v>0</v>
      </c>
      <c r="I229" s="57"/>
      <c r="J229" s="57"/>
      <c r="K229" s="79">
        <f t="shared" si="16"/>
        <v>0</v>
      </c>
      <c r="L229" s="11">
        <v>28</v>
      </c>
      <c r="M229" s="49">
        <v>28</v>
      </c>
      <c r="N229" s="13">
        <v>28</v>
      </c>
      <c r="O229" s="85"/>
      <c r="P229" s="14"/>
      <c r="Q229" s="17">
        <f t="shared" si="9"/>
        <v>0</v>
      </c>
      <c r="R229" s="59"/>
      <c r="S229" s="31">
        <f t="shared" si="116"/>
        <v>0</v>
      </c>
    </row>
    <row r="230" spans="1:19" ht="35.25" customHeight="1" thickBot="1" x14ac:dyDescent="0.3">
      <c r="A230" s="69" t="s">
        <v>60</v>
      </c>
      <c r="B230" s="11">
        <v>25</v>
      </c>
      <c r="C230" s="11"/>
      <c r="D230" s="41">
        <v>25</v>
      </c>
      <c r="E230" s="11">
        <v>25</v>
      </c>
      <c r="F230" s="85"/>
      <c r="G230" s="12"/>
      <c r="H230" s="29">
        <f t="shared" si="15"/>
        <v>0</v>
      </c>
      <c r="I230" s="57"/>
      <c r="J230" s="57"/>
      <c r="K230" s="79">
        <f t="shared" si="16"/>
        <v>0</v>
      </c>
      <c r="L230" s="11"/>
      <c r="M230" s="49"/>
      <c r="N230" s="13"/>
      <c r="O230" s="85"/>
      <c r="P230" s="14"/>
      <c r="Q230" s="17">
        <f t="shared" si="9"/>
        <v>0</v>
      </c>
      <c r="R230" s="59"/>
      <c r="S230" s="31">
        <f t="shared" ref="S230:S235" si="127">(N230-M230)</f>
        <v>0</v>
      </c>
    </row>
    <row r="231" spans="1:19" ht="35.25" customHeight="1" thickBot="1" x14ac:dyDescent="0.3">
      <c r="A231" s="69" t="s">
        <v>181</v>
      </c>
      <c r="B231" s="11">
        <v>59</v>
      </c>
      <c r="C231" s="11"/>
      <c r="D231" s="41">
        <v>59</v>
      </c>
      <c r="E231" s="11">
        <v>59</v>
      </c>
      <c r="F231" s="85"/>
      <c r="G231" s="12"/>
      <c r="H231" s="29">
        <f t="shared" si="15"/>
        <v>0</v>
      </c>
      <c r="I231" s="57"/>
      <c r="J231" s="57"/>
      <c r="K231" s="79">
        <f t="shared" si="16"/>
        <v>0</v>
      </c>
      <c r="L231" s="11"/>
      <c r="M231" s="49"/>
      <c r="N231" s="13"/>
      <c r="O231" s="85"/>
      <c r="P231" s="14"/>
      <c r="Q231" s="17">
        <f t="shared" si="9"/>
        <v>0</v>
      </c>
      <c r="R231" s="59"/>
      <c r="S231" s="31">
        <f t="shared" si="127"/>
        <v>0</v>
      </c>
    </row>
    <row r="232" spans="1:19" ht="35.25" customHeight="1" thickBot="1" x14ac:dyDescent="0.3">
      <c r="A232" s="69" t="s">
        <v>232</v>
      </c>
      <c r="B232" s="11">
        <v>17</v>
      </c>
      <c r="C232" s="11"/>
      <c r="D232" s="41">
        <v>17</v>
      </c>
      <c r="E232" s="11">
        <v>17</v>
      </c>
      <c r="F232" s="85" t="s">
        <v>233</v>
      </c>
      <c r="G232" s="12">
        <v>17</v>
      </c>
      <c r="H232" s="29">
        <f t="shared" si="15"/>
        <v>0</v>
      </c>
      <c r="I232" s="57"/>
      <c r="J232" s="57"/>
      <c r="K232" s="79">
        <f t="shared" si="16"/>
        <v>0</v>
      </c>
      <c r="L232" s="11"/>
      <c r="M232" s="49"/>
      <c r="N232" s="13"/>
      <c r="O232" s="85"/>
      <c r="P232" s="14"/>
      <c r="Q232" s="17">
        <f t="shared" si="9"/>
        <v>0</v>
      </c>
      <c r="R232" s="59"/>
      <c r="S232" s="31">
        <f t="shared" si="127"/>
        <v>0</v>
      </c>
    </row>
    <row r="233" spans="1:19" ht="35.25" customHeight="1" thickBot="1" x14ac:dyDescent="0.3">
      <c r="A233" s="70" t="s">
        <v>204</v>
      </c>
      <c r="B233" s="33">
        <v>0</v>
      </c>
      <c r="C233" s="33" t="s">
        <v>231</v>
      </c>
      <c r="D233" s="40"/>
      <c r="E233" s="33"/>
      <c r="F233" s="86"/>
      <c r="G233" s="35"/>
      <c r="H233" s="38">
        <f t="shared" si="15"/>
        <v>0</v>
      </c>
      <c r="I233" s="58"/>
      <c r="J233" s="58"/>
      <c r="K233" s="79">
        <f t="shared" si="16"/>
        <v>0</v>
      </c>
      <c r="L233" s="33">
        <v>12</v>
      </c>
      <c r="M233" s="48">
        <v>12</v>
      </c>
      <c r="N233" s="34">
        <v>12</v>
      </c>
      <c r="O233" s="86" t="s">
        <v>158</v>
      </c>
      <c r="P233" s="36"/>
      <c r="Q233" s="37">
        <f t="shared" si="9"/>
        <v>0</v>
      </c>
      <c r="R233" s="64"/>
      <c r="S233" s="31">
        <f t="shared" si="127"/>
        <v>0</v>
      </c>
    </row>
    <row r="234" spans="1:19" ht="35.25" customHeight="1" thickBot="1" x14ac:dyDescent="0.3">
      <c r="A234" s="69" t="s">
        <v>204</v>
      </c>
      <c r="B234" s="11">
        <v>162</v>
      </c>
      <c r="C234" s="11" t="s">
        <v>231</v>
      </c>
      <c r="D234" s="41">
        <v>162</v>
      </c>
      <c r="E234" s="11">
        <v>162</v>
      </c>
      <c r="F234" s="85"/>
      <c r="G234" s="12"/>
      <c r="H234" s="29">
        <f t="shared" si="15"/>
        <v>0</v>
      </c>
      <c r="I234" s="57"/>
      <c r="J234" s="57"/>
      <c r="K234" s="79">
        <f t="shared" si="16"/>
        <v>0</v>
      </c>
      <c r="L234" s="11">
        <v>24</v>
      </c>
      <c r="M234" s="49">
        <v>24</v>
      </c>
      <c r="N234" s="13">
        <v>24</v>
      </c>
      <c r="O234" s="85"/>
      <c r="P234" s="14"/>
      <c r="Q234" s="17">
        <f t="shared" si="9"/>
        <v>0</v>
      </c>
      <c r="R234" s="59"/>
      <c r="S234" s="31">
        <f t="shared" si="127"/>
        <v>0</v>
      </c>
    </row>
    <row r="235" spans="1:19" ht="35.25" customHeight="1" thickBot="1" x14ac:dyDescent="0.3">
      <c r="A235" s="70" t="s">
        <v>126</v>
      </c>
      <c r="B235" s="33">
        <v>0</v>
      </c>
      <c r="C235" s="33" t="s">
        <v>230</v>
      </c>
      <c r="D235" s="40"/>
      <c r="E235" s="33"/>
      <c r="F235" s="86"/>
      <c r="G235" s="35"/>
      <c r="H235" s="38">
        <f t="shared" si="15"/>
        <v>0</v>
      </c>
      <c r="I235" s="58"/>
      <c r="J235" s="58"/>
      <c r="K235" s="79">
        <f t="shared" si="16"/>
        <v>0</v>
      </c>
      <c r="L235" s="33">
        <v>24</v>
      </c>
      <c r="M235" s="48">
        <v>24</v>
      </c>
      <c r="N235" s="34">
        <v>24</v>
      </c>
      <c r="O235" s="86" t="s">
        <v>158</v>
      </c>
      <c r="P235" s="36"/>
      <c r="Q235" s="37">
        <f t="shared" si="9"/>
        <v>0</v>
      </c>
      <c r="R235" s="64"/>
      <c r="S235" s="31">
        <f t="shared" si="127"/>
        <v>0</v>
      </c>
    </row>
    <row r="236" spans="1:19" ht="35.25" customHeight="1" thickBot="1" x14ac:dyDescent="0.3">
      <c r="A236" s="69" t="s">
        <v>228</v>
      </c>
      <c r="B236" s="11">
        <v>106</v>
      </c>
      <c r="C236" s="11" t="s">
        <v>230</v>
      </c>
      <c r="D236" s="41">
        <v>106</v>
      </c>
      <c r="E236" s="11">
        <v>106</v>
      </c>
      <c r="F236" s="85" t="s">
        <v>61</v>
      </c>
      <c r="G236" s="12"/>
      <c r="H236" s="29">
        <f t="shared" si="15"/>
        <v>0</v>
      </c>
      <c r="I236" s="57"/>
      <c r="J236" s="57"/>
      <c r="K236" s="79">
        <f t="shared" si="16"/>
        <v>0</v>
      </c>
      <c r="L236" s="11"/>
      <c r="M236" s="49"/>
      <c r="N236" s="13"/>
      <c r="O236" s="85"/>
      <c r="P236" s="14"/>
      <c r="Q236" s="17">
        <f t="shared" si="9"/>
        <v>0</v>
      </c>
      <c r="R236" s="59"/>
      <c r="S236" s="31">
        <f t="shared" ref="S236:S244" si="128">(N236-M236)</f>
        <v>0</v>
      </c>
    </row>
    <row r="237" spans="1:19" ht="35.25" customHeight="1" thickBot="1" x14ac:dyDescent="0.3">
      <c r="A237" s="69" t="s">
        <v>227</v>
      </c>
      <c r="B237" s="11">
        <v>50</v>
      </c>
      <c r="C237" s="11" t="s">
        <v>230</v>
      </c>
      <c r="D237" s="41">
        <v>50</v>
      </c>
      <c r="E237" s="11">
        <v>50</v>
      </c>
      <c r="F237" s="85"/>
      <c r="G237" s="12"/>
      <c r="H237" s="29">
        <f t="shared" si="15"/>
        <v>0</v>
      </c>
      <c r="I237" s="57"/>
      <c r="J237" s="57"/>
      <c r="K237" s="79">
        <f t="shared" si="16"/>
        <v>0</v>
      </c>
      <c r="L237" s="11"/>
      <c r="M237" s="49"/>
      <c r="N237" s="13"/>
      <c r="O237" s="85"/>
      <c r="P237" s="14"/>
      <c r="Q237" s="17">
        <f t="shared" si="9"/>
        <v>0</v>
      </c>
      <c r="R237" s="59"/>
      <c r="S237" s="31">
        <f t="shared" si="128"/>
        <v>0</v>
      </c>
    </row>
    <row r="238" spans="1:19" ht="35.25" customHeight="1" thickBot="1" x14ac:dyDescent="0.3">
      <c r="A238" s="69" t="s">
        <v>81</v>
      </c>
      <c r="B238" s="11">
        <v>390</v>
      </c>
      <c r="C238" s="11" t="s">
        <v>222</v>
      </c>
      <c r="D238" s="41">
        <v>390</v>
      </c>
      <c r="E238" s="11">
        <v>390</v>
      </c>
      <c r="F238" s="85"/>
      <c r="G238" s="12"/>
      <c r="H238" s="29">
        <f t="shared" si="15"/>
        <v>0</v>
      </c>
      <c r="I238" s="57"/>
      <c r="J238" s="57"/>
      <c r="K238" s="79">
        <f t="shared" si="16"/>
        <v>0</v>
      </c>
      <c r="L238" s="11">
        <v>36</v>
      </c>
      <c r="M238" s="49">
        <v>36</v>
      </c>
      <c r="N238" s="13">
        <v>36</v>
      </c>
      <c r="O238" s="85"/>
      <c r="P238" s="14"/>
      <c r="Q238" s="17">
        <f t="shared" si="9"/>
        <v>0</v>
      </c>
      <c r="R238" s="59"/>
      <c r="S238" s="31">
        <f t="shared" ref="S238" si="129">(N238-M238)</f>
        <v>0</v>
      </c>
    </row>
    <row r="239" spans="1:19" ht="35.25" customHeight="1" thickBot="1" x14ac:dyDescent="0.3">
      <c r="A239" s="69" t="s">
        <v>51</v>
      </c>
      <c r="B239" s="11">
        <v>100</v>
      </c>
      <c r="C239" s="11" t="s">
        <v>222</v>
      </c>
      <c r="D239" s="41">
        <v>100</v>
      </c>
      <c r="E239" s="11">
        <v>100</v>
      </c>
      <c r="F239" s="85"/>
      <c r="G239" s="12"/>
      <c r="H239" s="29">
        <f t="shared" si="15"/>
        <v>0</v>
      </c>
      <c r="I239" s="57"/>
      <c r="J239" s="57"/>
      <c r="K239" s="79">
        <f t="shared" si="16"/>
        <v>0</v>
      </c>
      <c r="L239" s="11"/>
      <c r="M239" s="49"/>
      <c r="N239" s="13"/>
      <c r="O239" s="85"/>
      <c r="P239" s="14"/>
      <c r="Q239" s="17">
        <f t="shared" si="9"/>
        <v>0</v>
      </c>
      <c r="R239" s="59"/>
      <c r="S239" s="31">
        <f t="shared" ref="S239:S243" si="130">(N239-M239)</f>
        <v>0</v>
      </c>
    </row>
    <row r="240" spans="1:19" ht="35.25" customHeight="1" thickBot="1" x14ac:dyDescent="0.3">
      <c r="A240" s="69" t="s">
        <v>220</v>
      </c>
      <c r="B240" s="11">
        <v>20</v>
      </c>
      <c r="C240" s="11" t="s">
        <v>222</v>
      </c>
      <c r="D240" s="41">
        <v>20</v>
      </c>
      <c r="E240" s="11">
        <v>20</v>
      </c>
      <c r="F240" s="85"/>
      <c r="G240" s="12"/>
      <c r="H240" s="29">
        <f t="shared" si="15"/>
        <v>0</v>
      </c>
      <c r="I240" s="57"/>
      <c r="J240" s="57"/>
      <c r="K240" s="79">
        <f t="shared" si="16"/>
        <v>0</v>
      </c>
      <c r="L240" s="11">
        <v>10</v>
      </c>
      <c r="M240" s="49">
        <v>10</v>
      </c>
      <c r="N240" s="13">
        <v>10</v>
      </c>
      <c r="O240" s="85"/>
      <c r="P240" s="14"/>
      <c r="Q240" s="17">
        <f t="shared" si="9"/>
        <v>0</v>
      </c>
      <c r="R240" s="59"/>
      <c r="S240" s="31">
        <f t="shared" si="130"/>
        <v>0</v>
      </c>
    </row>
    <row r="241" spans="1:19" ht="35.25" customHeight="1" thickBot="1" x14ac:dyDescent="0.3">
      <c r="A241" s="69" t="s">
        <v>215</v>
      </c>
      <c r="B241" s="11">
        <v>100</v>
      </c>
      <c r="C241" s="11" t="s">
        <v>217</v>
      </c>
      <c r="D241" s="41">
        <v>100</v>
      </c>
      <c r="E241" s="11">
        <v>100</v>
      </c>
      <c r="F241" s="85"/>
      <c r="G241" s="12"/>
      <c r="H241" s="29">
        <f t="shared" si="15"/>
        <v>0</v>
      </c>
      <c r="I241" s="57"/>
      <c r="J241" s="57"/>
      <c r="K241" s="79">
        <f t="shared" si="16"/>
        <v>0</v>
      </c>
      <c r="L241" s="11"/>
      <c r="M241" s="49"/>
      <c r="N241" s="13"/>
      <c r="O241" s="85"/>
      <c r="P241" s="14"/>
      <c r="Q241" s="17">
        <f t="shared" si="9"/>
        <v>0</v>
      </c>
      <c r="R241" s="59"/>
      <c r="S241" s="31">
        <f t="shared" ref="S241" si="131">(N241-M241)</f>
        <v>0</v>
      </c>
    </row>
    <row r="242" spans="1:19" ht="34.5" customHeight="1" thickBot="1" x14ac:dyDescent="0.3">
      <c r="A242" s="70" t="s">
        <v>214</v>
      </c>
      <c r="B242" s="33">
        <v>50</v>
      </c>
      <c r="C242" s="33" t="s">
        <v>217</v>
      </c>
      <c r="D242" s="40">
        <v>50</v>
      </c>
      <c r="E242" s="33">
        <v>50</v>
      </c>
      <c r="F242" s="86"/>
      <c r="G242" s="35"/>
      <c r="H242" s="29">
        <f t="shared" si="15"/>
        <v>0</v>
      </c>
      <c r="I242" s="57"/>
      <c r="J242" s="57"/>
      <c r="K242" s="79">
        <f t="shared" si="16"/>
        <v>0</v>
      </c>
      <c r="L242" s="33"/>
      <c r="M242" s="48"/>
      <c r="N242" s="34"/>
      <c r="O242" s="86"/>
      <c r="P242" s="36"/>
      <c r="Q242" s="37">
        <f t="shared" si="9"/>
        <v>0</v>
      </c>
      <c r="R242" s="64"/>
      <c r="S242" s="31">
        <f t="shared" si="130"/>
        <v>0</v>
      </c>
    </row>
    <row r="243" spans="1:19" ht="35.25" customHeight="1" thickBot="1" x14ac:dyDescent="0.3">
      <c r="A243" s="70" t="s">
        <v>213</v>
      </c>
      <c r="B243" s="33">
        <v>100</v>
      </c>
      <c r="C243" s="33" t="s">
        <v>216</v>
      </c>
      <c r="D243" s="40">
        <v>100</v>
      </c>
      <c r="E243" s="33">
        <v>100</v>
      </c>
      <c r="F243" s="86"/>
      <c r="G243" s="35"/>
      <c r="H243" s="29">
        <f t="shared" si="15"/>
        <v>0</v>
      </c>
      <c r="I243" s="57"/>
      <c r="J243" s="57"/>
      <c r="K243" s="79">
        <f t="shared" si="16"/>
        <v>0</v>
      </c>
      <c r="L243" s="33">
        <v>50</v>
      </c>
      <c r="M243" s="48">
        <v>50</v>
      </c>
      <c r="N243" s="34">
        <v>50</v>
      </c>
      <c r="O243" s="86" t="s">
        <v>158</v>
      </c>
      <c r="P243" s="36"/>
      <c r="Q243" s="37">
        <f t="shared" si="9"/>
        <v>0</v>
      </c>
      <c r="R243" s="64"/>
      <c r="S243" s="31">
        <f t="shared" si="130"/>
        <v>0</v>
      </c>
    </row>
    <row r="244" spans="1:19" ht="35.25" customHeight="1" thickBot="1" x14ac:dyDescent="0.3">
      <c r="A244" s="69" t="s">
        <v>212</v>
      </c>
      <c r="B244" s="11"/>
      <c r="C244" s="11" t="s">
        <v>211</v>
      </c>
      <c r="D244" s="41"/>
      <c r="E244" s="11"/>
      <c r="F244" s="85"/>
      <c r="G244" s="12"/>
      <c r="H244" s="29">
        <f t="shared" si="15"/>
        <v>0</v>
      </c>
      <c r="I244" s="57"/>
      <c r="J244" s="57"/>
      <c r="K244" s="79">
        <f t="shared" si="16"/>
        <v>0</v>
      </c>
      <c r="L244" s="11">
        <v>100</v>
      </c>
      <c r="M244" s="49">
        <v>101</v>
      </c>
      <c r="N244" s="13">
        <v>101</v>
      </c>
      <c r="O244" s="85"/>
      <c r="P244" s="14"/>
      <c r="Q244" s="17">
        <f t="shared" si="9"/>
        <v>-1</v>
      </c>
      <c r="R244" s="59"/>
      <c r="S244" s="31">
        <f t="shared" si="128"/>
        <v>0</v>
      </c>
    </row>
    <row r="245" spans="1:19" ht="35.25" customHeight="1" thickBot="1" x14ac:dyDescent="0.3">
      <c r="A245" s="69" t="s">
        <v>151</v>
      </c>
      <c r="B245" s="11">
        <v>0</v>
      </c>
      <c r="C245" s="11" t="s">
        <v>152</v>
      </c>
      <c r="D245" s="41"/>
      <c r="E245" s="11"/>
      <c r="F245" s="85"/>
      <c r="G245" s="14"/>
      <c r="H245" s="17">
        <f t="shared" si="15"/>
        <v>0</v>
      </c>
      <c r="I245" s="59"/>
      <c r="J245" s="59"/>
      <c r="K245" s="79">
        <f t="shared" si="16"/>
        <v>0</v>
      </c>
      <c r="L245" s="23">
        <v>100</v>
      </c>
      <c r="M245" s="49">
        <v>100</v>
      </c>
      <c r="N245" s="13">
        <v>100</v>
      </c>
      <c r="O245" s="85" t="s">
        <v>157</v>
      </c>
      <c r="P245" s="14"/>
      <c r="Q245" s="17">
        <f t="shared" si="9"/>
        <v>0</v>
      </c>
      <c r="R245" s="59"/>
      <c r="S245" s="31">
        <f t="shared" ref="S245:S246" si="132">(N245-M245)</f>
        <v>0</v>
      </c>
    </row>
    <row r="246" spans="1:19" ht="34.5" customHeight="1" thickBot="1" x14ac:dyDescent="0.3">
      <c r="A246" s="69" t="s">
        <v>151</v>
      </c>
      <c r="B246" s="11">
        <v>400</v>
      </c>
      <c r="C246" s="11" t="s">
        <v>152</v>
      </c>
      <c r="D246" s="41">
        <v>400</v>
      </c>
      <c r="E246" s="11">
        <v>400</v>
      </c>
      <c r="F246" s="85"/>
      <c r="G246" s="14"/>
      <c r="H246" s="17">
        <f t="shared" si="15"/>
        <v>0</v>
      </c>
      <c r="I246" s="59"/>
      <c r="J246" s="59"/>
      <c r="K246" s="79">
        <f t="shared" si="16"/>
        <v>0</v>
      </c>
      <c r="L246" s="23">
        <v>200</v>
      </c>
      <c r="M246" s="49">
        <v>200</v>
      </c>
      <c r="N246" s="13">
        <v>200</v>
      </c>
      <c r="O246" s="85" t="s">
        <v>158</v>
      </c>
      <c r="P246" s="14"/>
      <c r="Q246" s="17">
        <f t="shared" si="9"/>
        <v>0</v>
      </c>
      <c r="R246" s="59"/>
      <c r="S246" s="31">
        <f t="shared" si="132"/>
        <v>0</v>
      </c>
    </row>
    <row r="247" spans="1:19" ht="35.25" customHeight="1" thickBot="1" x14ac:dyDescent="0.3">
      <c r="A247" s="69" t="s">
        <v>224</v>
      </c>
      <c r="B247" s="11">
        <v>100</v>
      </c>
      <c r="C247" s="11" t="s">
        <v>223</v>
      </c>
      <c r="D247" s="41">
        <v>100</v>
      </c>
      <c r="E247" s="11">
        <v>100</v>
      </c>
      <c r="F247" s="85"/>
      <c r="G247" s="12"/>
      <c r="H247" s="29">
        <f t="shared" si="15"/>
        <v>0</v>
      </c>
      <c r="I247" s="57"/>
      <c r="J247" s="57"/>
      <c r="K247" s="79">
        <f t="shared" si="16"/>
        <v>0</v>
      </c>
      <c r="L247" s="11">
        <v>20</v>
      </c>
      <c r="M247" s="49">
        <v>20</v>
      </c>
      <c r="N247" s="13">
        <v>20</v>
      </c>
      <c r="O247" s="85"/>
      <c r="P247" s="14"/>
      <c r="Q247" s="17">
        <f t="shared" ref="Q247:Q308" si="133">L247-N247</f>
        <v>0</v>
      </c>
      <c r="R247" s="59"/>
      <c r="S247" s="31">
        <f t="shared" ref="S247:S252" si="134">(N247-M247)</f>
        <v>0</v>
      </c>
    </row>
    <row r="248" spans="1:19" ht="35.25" customHeight="1" thickBot="1" x14ac:dyDescent="0.3">
      <c r="A248" s="69" t="s">
        <v>60</v>
      </c>
      <c r="B248" s="11">
        <v>112</v>
      </c>
      <c r="C248" s="11" t="s">
        <v>223</v>
      </c>
      <c r="D248" s="41">
        <v>114</v>
      </c>
      <c r="E248" s="11">
        <v>114</v>
      </c>
      <c r="F248" s="85" t="s">
        <v>61</v>
      </c>
      <c r="G248" s="12"/>
      <c r="H248" s="29">
        <f t="shared" si="15"/>
        <v>-2</v>
      </c>
      <c r="I248" s="57"/>
      <c r="J248" s="57"/>
      <c r="K248" s="79">
        <f t="shared" si="16"/>
        <v>0</v>
      </c>
      <c r="L248" s="11"/>
      <c r="M248" s="49"/>
      <c r="N248" s="13"/>
      <c r="O248" s="85"/>
      <c r="P248" s="14"/>
      <c r="Q248" s="17">
        <f t="shared" si="133"/>
        <v>0</v>
      </c>
      <c r="R248" s="59"/>
      <c r="S248" s="31">
        <f t="shared" si="134"/>
        <v>0</v>
      </c>
    </row>
    <row r="249" spans="1:19" ht="35.25" customHeight="1" thickBot="1" x14ac:dyDescent="0.3">
      <c r="A249" s="69" t="s">
        <v>163</v>
      </c>
      <c r="B249" s="11">
        <v>11</v>
      </c>
      <c r="C249" s="11"/>
      <c r="D249" s="41">
        <v>11</v>
      </c>
      <c r="E249" s="11">
        <v>11</v>
      </c>
      <c r="F249" s="85"/>
      <c r="G249" s="12"/>
      <c r="H249" s="29">
        <f t="shared" si="15"/>
        <v>0</v>
      </c>
      <c r="I249" s="57"/>
      <c r="J249" s="57"/>
      <c r="K249" s="79">
        <f t="shared" si="16"/>
        <v>0</v>
      </c>
      <c r="L249" s="11"/>
      <c r="M249" s="49"/>
      <c r="N249" s="13"/>
      <c r="O249" s="85"/>
      <c r="P249" s="14"/>
      <c r="Q249" s="17">
        <f t="shared" si="133"/>
        <v>0</v>
      </c>
      <c r="R249" s="59"/>
      <c r="S249" s="31">
        <f t="shared" si="134"/>
        <v>0</v>
      </c>
    </row>
    <row r="250" spans="1:19" ht="34.5" customHeight="1" thickBot="1" x14ac:dyDescent="0.3">
      <c r="A250" s="69" t="s">
        <v>146</v>
      </c>
      <c r="B250" s="11">
        <v>251</v>
      </c>
      <c r="C250" s="11" t="s">
        <v>150</v>
      </c>
      <c r="D250" s="41">
        <v>251</v>
      </c>
      <c r="E250" s="11">
        <v>251</v>
      </c>
      <c r="F250" s="85"/>
      <c r="G250" s="12"/>
      <c r="H250" s="29">
        <f t="shared" si="15"/>
        <v>0</v>
      </c>
      <c r="I250" s="57"/>
      <c r="J250" s="57"/>
      <c r="K250" s="79">
        <f t="shared" si="16"/>
        <v>0</v>
      </c>
      <c r="L250" s="11">
        <v>50</v>
      </c>
      <c r="M250" s="49">
        <v>50</v>
      </c>
      <c r="N250" s="13">
        <v>50</v>
      </c>
      <c r="O250" s="85" t="s">
        <v>61</v>
      </c>
      <c r="P250" s="14"/>
      <c r="Q250" s="17">
        <f t="shared" si="133"/>
        <v>0</v>
      </c>
      <c r="R250" s="59"/>
      <c r="S250" s="31">
        <f t="shared" si="134"/>
        <v>0</v>
      </c>
    </row>
    <row r="251" spans="1:19" ht="35.25" customHeight="1" thickBot="1" x14ac:dyDescent="0.3">
      <c r="A251" s="69" t="s">
        <v>51</v>
      </c>
      <c r="B251" s="11">
        <v>150</v>
      </c>
      <c r="C251" s="11" t="s">
        <v>141</v>
      </c>
      <c r="D251" s="41">
        <v>150</v>
      </c>
      <c r="E251" s="11">
        <v>150</v>
      </c>
      <c r="F251" s="85" t="s">
        <v>61</v>
      </c>
      <c r="G251" s="12"/>
      <c r="H251" s="29">
        <f t="shared" si="15"/>
        <v>0</v>
      </c>
      <c r="I251" s="57"/>
      <c r="J251" s="57"/>
      <c r="K251" s="79">
        <f t="shared" si="16"/>
        <v>0</v>
      </c>
      <c r="L251" s="11"/>
      <c r="M251" s="49"/>
      <c r="N251" s="13"/>
      <c r="O251" s="85"/>
      <c r="P251" s="14"/>
      <c r="Q251" s="17">
        <f t="shared" si="133"/>
        <v>0</v>
      </c>
      <c r="R251" s="59"/>
      <c r="S251" s="31">
        <f t="shared" si="134"/>
        <v>0</v>
      </c>
    </row>
    <row r="252" spans="1:19" ht="35.25" customHeight="1" thickBot="1" x14ac:dyDescent="0.3">
      <c r="A252" s="69" t="s">
        <v>210</v>
      </c>
      <c r="B252" s="11">
        <v>50</v>
      </c>
      <c r="C252" s="11" t="s">
        <v>211</v>
      </c>
      <c r="D252" s="41">
        <v>50</v>
      </c>
      <c r="E252" s="11">
        <v>50</v>
      </c>
      <c r="F252" s="85"/>
      <c r="G252" s="12"/>
      <c r="H252" s="29">
        <f t="shared" si="15"/>
        <v>0</v>
      </c>
      <c r="I252" s="57"/>
      <c r="J252" s="57"/>
      <c r="K252" s="79">
        <f t="shared" si="16"/>
        <v>0</v>
      </c>
      <c r="L252" s="11"/>
      <c r="M252" s="49"/>
      <c r="N252" s="13"/>
      <c r="O252" s="85"/>
      <c r="P252" s="14"/>
      <c r="Q252" s="17">
        <f t="shared" si="133"/>
        <v>0</v>
      </c>
      <c r="R252" s="59"/>
      <c r="S252" s="31">
        <f t="shared" si="134"/>
        <v>0</v>
      </c>
    </row>
    <row r="253" spans="1:19" ht="35.25" customHeight="1" thickBot="1" x14ac:dyDescent="0.3">
      <c r="A253" s="69" t="s">
        <v>207</v>
      </c>
      <c r="B253" s="11">
        <v>300</v>
      </c>
      <c r="C253" s="11" t="s">
        <v>209</v>
      </c>
      <c r="D253" s="41">
        <v>300</v>
      </c>
      <c r="E253" s="11">
        <v>300</v>
      </c>
      <c r="F253" s="85"/>
      <c r="G253" s="12"/>
      <c r="H253" s="29">
        <f t="shared" si="15"/>
        <v>0</v>
      </c>
      <c r="I253" s="57"/>
      <c r="J253" s="57"/>
      <c r="K253" s="79">
        <f t="shared" si="16"/>
        <v>0</v>
      </c>
      <c r="L253" s="11">
        <v>100</v>
      </c>
      <c r="M253" s="49">
        <v>100</v>
      </c>
      <c r="N253" s="13">
        <v>100</v>
      </c>
      <c r="O253" s="85"/>
      <c r="P253" s="14"/>
      <c r="Q253" s="17">
        <f t="shared" si="133"/>
        <v>0</v>
      </c>
      <c r="R253" s="59"/>
      <c r="S253" s="31">
        <f t="shared" ref="S253:S259" si="135">(N253-M253)</f>
        <v>0</v>
      </c>
    </row>
    <row r="254" spans="1:19" ht="35.25" customHeight="1" thickBot="1" x14ac:dyDescent="0.3">
      <c r="A254" s="69" t="s">
        <v>206</v>
      </c>
      <c r="B254" s="11">
        <v>225</v>
      </c>
      <c r="C254" s="11" t="s">
        <v>208</v>
      </c>
      <c r="D254" s="41">
        <v>236</v>
      </c>
      <c r="E254" s="11">
        <v>225</v>
      </c>
      <c r="F254" s="85"/>
      <c r="G254" s="12"/>
      <c r="H254" s="29">
        <f t="shared" si="15"/>
        <v>0</v>
      </c>
      <c r="I254" s="57"/>
      <c r="J254" s="57"/>
      <c r="K254" s="79">
        <f t="shared" si="16"/>
        <v>-11</v>
      </c>
      <c r="L254" s="11">
        <v>50</v>
      </c>
      <c r="M254" s="49">
        <v>50</v>
      </c>
      <c r="N254" s="13">
        <v>50</v>
      </c>
      <c r="O254" s="85"/>
      <c r="P254" s="14"/>
      <c r="Q254" s="17">
        <f t="shared" si="133"/>
        <v>0</v>
      </c>
      <c r="R254" s="59"/>
      <c r="S254" s="31">
        <f t="shared" si="135"/>
        <v>0</v>
      </c>
    </row>
    <row r="255" spans="1:19" ht="35.25" customHeight="1" thickBot="1" x14ac:dyDescent="0.3">
      <c r="A255" s="69" t="s">
        <v>204</v>
      </c>
      <c r="B255" s="11">
        <v>148</v>
      </c>
      <c r="C255" s="11" t="s">
        <v>208</v>
      </c>
      <c r="D255" s="41">
        <v>148</v>
      </c>
      <c r="E255" s="11">
        <v>148</v>
      </c>
      <c r="F255" s="85"/>
      <c r="G255" s="12"/>
      <c r="H255" s="29">
        <f t="shared" si="15"/>
        <v>0</v>
      </c>
      <c r="I255" s="57"/>
      <c r="J255" s="57"/>
      <c r="K255" s="79">
        <f t="shared" si="16"/>
        <v>0</v>
      </c>
      <c r="L255" s="11">
        <v>12</v>
      </c>
      <c r="M255" s="49">
        <v>12</v>
      </c>
      <c r="N255" s="13">
        <v>12</v>
      </c>
      <c r="O255" s="85"/>
      <c r="P255" s="14"/>
      <c r="Q255" s="17">
        <f t="shared" si="133"/>
        <v>0</v>
      </c>
      <c r="R255" s="59"/>
      <c r="S255" s="31">
        <f t="shared" si="135"/>
        <v>0</v>
      </c>
    </row>
    <row r="256" spans="1:19" ht="35.25" customHeight="1" thickBot="1" x14ac:dyDescent="0.3">
      <c r="A256" s="69" t="s">
        <v>203</v>
      </c>
      <c r="B256" s="11">
        <v>151</v>
      </c>
      <c r="C256" s="11" t="s">
        <v>208</v>
      </c>
      <c r="D256" s="41">
        <v>151</v>
      </c>
      <c r="E256" s="11">
        <v>151</v>
      </c>
      <c r="F256" s="85"/>
      <c r="G256" s="12"/>
      <c r="H256" s="29">
        <f t="shared" si="15"/>
        <v>0</v>
      </c>
      <c r="I256" s="57"/>
      <c r="J256" s="57"/>
      <c r="K256" s="79">
        <f t="shared" si="16"/>
        <v>0</v>
      </c>
      <c r="L256" s="11"/>
      <c r="M256" s="49"/>
      <c r="N256" s="13"/>
      <c r="O256" s="85"/>
      <c r="P256" s="14"/>
      <c r="Q256" s="17">
        <f t="shared" si="133"/>
        <v>0</v>
      </c>
      <c r="R256" s="59"/>
      <c r="S256" s="31">
        <f t="shared" si="135"/>
        <v>0</v>
      </c>
    </row>
    <row r="257" spans="1:19" ht="35.25" customHeight="1" thickBot="1" x14ac:dyDescent="0.3">
      <c r="A257" s="69" t="s">
        <v>202</v>
      </c>
      <c r="B257" s="11">
        <v>115</v>
      </c>
      <c r="C257" s="11" t="s">
        <v>208</v>
      </c>
      <c r="D257" s="41">
        <v>115</v>
      </c>
      <c r="E257" s="11">
        <v>115</v>
      </c>
      <c r="F257" s="85"/>
      <c r="G257" s="12"/>
      <c r="H257" s="29">
        <f t="shared" si="15"/>
        <v>0</v>
      </c>
      <c r="I257" s="57"/>
      <c r="J257" s="57"/>
      <c r="K257" s="79">
        <f t="shared" si="16"/>
        <v>0</v>
      </c>
      <c r="L257" s="11"/>
      <c r="M257" s="49"/>
      <c r="N257" s="13"/>
      <c r="O257" s="85"/>
      <c r="P257" s="14"/>
      <c r="Q257" s="17">
        <f t="shared" si="133"/>
        <v>0</v>
      </c>
      <c r="R257" s="59"/>
      <c r="S257" s="31">
        <f t="shared" si="135"/>
        <v>0</v>
      </c>
    </row>
    <row r="258" spans="1:19" ht="35.25" customHeight="1" thickBot="1" x14ac:dyDescent="0.3">
      <c r="A258" s="69" t="s">
        <v>201</v>
      </c>
      <c r="B258" s="11">
        <v>210</v>
      </c>
      <c r="C258" s="11" t="s">
        <v>200</v>
      </c>
      <c r="D258" s="41">
        <v>210</v>
      </c>
      <c r="E258" s="11">
        <v>210</v>
      </c>
      <c r="F258" s="85"/>
      <c r="G258" s="12"/>
      <c r="H258" s="29">
        <f t="shared" si="15"/>
        <v>0</v>
      </c>
      <c r="I258" s="57"/>
      <c r="J258" s="57"/>
      <c r="K258" s="79">
        <f t="shared" si="16"/>
        <v>0</v>
      </c>
      <c r="L258" s="11">
        <v>30</v>
      </c>
      <c r="M258" s="49">
        <v>30</v>
      </c>
      <c r="N258" s="13">
        <v>30</v>
      </c>
      <c r="O258" s="85"/>
      <c r="P258" s="14"/>
      <c r="Q258" s="17">
        <f t="shared" si="133"/>
        <v>0</v>
      </c>
      <c r="R258" s="59"/>
      <c r="S258" s="31">
        <f t="shared" si="135"/>
        <v>0</v>
      </c>
    </row>
    <row r="259" spans="1:19" ht="35.25" customHeight="1" thickBot="1" x14ac:dyDescent="0.3">
      <c r="A259" s="69" t="s">
        <v>196</v>
      </c>
      <c r="B259" s="11">
        <v>50</v>
      </c>
      <c r="C259" s="11" t="s">
        <v>197</v>
      </c>
      <c r="D259" s="41">
        <v>50</v>
      </c>
      <c r="E259" s="11">
        <v>50</v>
      </c>
      <c r="F259" s="85"/>
      <c r="G259" s="12"/>
      <c r="H259" s="29">
        <f t="shared" si="15"/>
        <v>0</v>
      </c>
      <c r="I259" s="57"/>
      <c r="J259" s="57"/>
      <c r="K259" s="79">
        <f t="shared" si="16"/>
        <v>0</v>
      </c>
      <c r="L259" s="11">
        <v>50</v>
      </c>
      <c r="M259" s="49">
        <v>50</v>
      </c>
      <c r="N259" s="13">
        <v>50</v>
      </c>
      <c r="O259" s="85"/>
      <c r="P259" s="14"/>
      <c r="Q259" s="17">
        <f t="shared" si="133"/>
        <v>0</v>
      </c>
      <c r="R259" s="59"/>
      <c r="S259" s="31">
        <f t="shared" si="135"/>
        <v>0</v>
      </c>
    </row>
    <row r="260" spans="1:19" ht="35.25" customHeight="1" thickBot="1" x14ac:dyDescent="0.3">
      <c r="A260" s="69" t="s">
        <v>177</v>
      </c>
      <c r="B260" s="11">
        <v>602</v>
      </c>
      <c r="C260" s="11" t="s">
        <v>183</v>
      </c>
      <c r="D260" s="41">
        <v>602</v>
      </c>
      <c r="E260" s="11">
        <v>602</v>
      </c>
      <c r="F260" s="85"/>
      <c r="G260" s="12"/>
      <c r="H260" s="29">
        <f t="shared" si="15"/>
        <v>0</v>
      </c>
      <c r="I260" s="57"/>
      <c r="J260" s="57"/>
      <c r="K260" s="79">
        <f t="shared" si="16"/>
        <v>0</v>
      </c>
      <c r="L260" s="11">
        <v>51</v>
      </c>
      <c r="M260" s="49">
        <v>51</v>
      </c>
      <c r="N260" s="13">
        <v>51</v>
      </c>
      <c r="O260" s="85"/>
      <c r="P260" s="14"/>
      <c r="Q260" s="17">
        <f t="shared" si="133"/>
        <v>0</v>
      </c>
      <c r="R260" s="59"/>
      <c r="S260" s="31">
        <f t="shared" ref="S260" si="136">(N260-M260)</f>
        <v>0</v>
      </c>
    </row>
    <row r="261" spans="1:19" ht="35.25" customHeight="1" thickBot="1" x14ac:dyDescent="0.3">
      <c r="A261" s="69" t="s">
        <v>140</v>
      </c>
      <c r="B261" s="11">
        <v>90</v>
      </c>
      <c r="C261" s="11" t="s">
        <v>141</v>
      </c>
      <c r="D261" s="41">
        <v>90</v>
      </c>
      <c r="E261" s="11">
        <v>90</v>
      </c>
      <c r="F261" s="85"/>
      <c r="G261" s="20"/>
      <c r="H261" s="17">
        <f t="shared" si="15"/>
        <v>0</v>
      </c>
      <c r="I261" s="59"/>
      <c r="J261" s="59"/>
      <c r="K261" s="79">
        <f t="shared" si="16"/>
        <v>0</v>
      </c>
      <c r="L261" s="23">
        <v>100</v>
      </c>
      <c r="M261" s="49">
        <v>100</v>
      </c>
      <c r="N261" s="13">
        <v>100</v>
      </c>
      <c r="O261" s="85" t="s">
        <v>158</v>
      </c>
      <c r="P261" s="14"/>
      <c r="Q261" s="17">
        <f t="shared" si="133"/>
        <v>0</v>
      </c>
      <c r="R261" s="59"/>
      <c r="S261" s="31">
        <f t="shared" ref="S261:S270" si="137">(N261-M261)</f>
        <v>0</v>
      </c>
    </row>
    <row r="262" spans="1:19" ht="35.25" customHeight="1" thickBot="1" x14ac:dyDescent="0.3">
      <c r="A262" s="69" t="s">
        <v>194</v>
      </c>
      <c r="B262" s="11">
        <v>100</v>
      </c>
      <c r="C262" s="11" t="s">
        <v>195</v>
      </c>
      <c r="D262" s="41">
        <v>100</v>
      </c>
      <c r="E262" s="11">
        <v>100</v>
      </c>
      <c r="F262" s="85"/>
      <c r="G262" s="12"/>
      <c r="H262" s="29">
        <f t="shared" si="15"/>
        <v>0</v>
      </c>
      <c r="I262" s="57"/>
      <c r="J262" s="57"/>
      <c r="K262" s="79">
        <f t="shared" si="16"/>
        <v>0</v>
      </c>
      <c r="L262" s="11">
        <v>100</v>
      </c>
      <c r="M262" s="49">
        <v>100</v>
      </c>
      <c r="N262" s="13">
        <v>100</v>
      </c>
      <c r="O262" s="85"/>
      <c r="P262" s="14"/>
      <c r="Q262" s="17">
        <f t="shared" si="133"/>
        <v>0</v>
      </c>
      <c r="R262" s="59"/>
      <c r="S262" s="31">
        <f t="shared" si="137"/>
        <v>0</v>
      </c>
    </row>
    <row r="263" spans="1:19" ht="35.25" customHeight="1" thickBot="1" x14ac:dyDescent="0.3">
      <c r="A263" s="69" t="s">
        <v>101</v>
      </c>
      <c r="B263" s="11">
        <v>150</v>
      </c>
      <c r="C263" s="11" t="s">
        <v>219</v>
      </c>
      <c r="D263" s="41">
        <v>150</v>
      </c>
      <c r="E263" s="11">
        <v>150</v>
      </c>
      <c r="F263" s="85"/>
      <c r="G263" s="12"/>
      <c r="H263" s="29">
        <f t="shared" si="15"/>
        <v>0</v>
      </c>
      <c r="I263" s="57"/>
      <c r="J263" s="57"/>
      <c r="K263" s="79">
        <f t="shared" si="16"/>
        <v>0</v>
      </c>
      <c r="L263" s="11"/>
      <c r="M263" s="49"/>
      <c r="N263" s="13"/>
      <c r="O263" s="85"/>
      <c r="P263" s="14"/>
      <c r="Q263" s="17">
        <f t="shared" si="133"/>
        <v>0</v>
      </c>
      <c r="R263" s="59"/>
      <c r="S263" s="31">
        <f t="shared" si="137"/>
        <v>0</v>
      </c>
    </row>
    <row r="264" spans="1:19" ht="35.25" customHeight="1" thickBot="1" x14ac:dyDescent="0.3">
      <c r="A264" s="69" t="s">
        <v>15</v>
      </c>
      <c r="B264" s="11">
        <v>92</v>
      </c>
      <c r="C264" s="11" t="s">
        <v>219</v>
      </c>
      <c r="D264" s="41">
        <v>92</v>
      </c>
      <c r="E264" s="11">
        <v>92</v>
      </c>
      <c r="F264" s="85"/>
      <c r="G264" s="12"/>
      <c r="H264" s="29">
        <f t="shared" si="15"/>
        <v>0</v>
      </c>
      <c r="I264" s="57"/>
      <c r="J264" s="57"/>
      <c r="K264" s="79">
        <f t="shared" si="16"/>
        <v>0</v>
      </c>
      <c r="L264" s="11">
        <v>23</v>
      </c>
      <c r="M264" s="49">
        <v>25</v>
      </c>
      <c r="N264" s="13">
        <v>23</v>
      </c>
      <c r="O264" s="85"/>
      <c r="P264" s="14"/>
      <c r="Q264" s="17">
        <f t="shared" si="133"/>
        <v>0</v>
      </c>
      <c r="R264" s="59"/>
      <c r="S264" s="31">
        <f t="shared" si="137"/>
        <v>-2</v>
      </c>
    </row>
    <row r="265" spans="1:19" ht="35.25" customHeight="1" thickBot="1" x14ac:dyDescent="0.3">
      <c r="A265" s="69" t="s">
        <v>51</v>
      </c>
      <c r="B265" s="11">
        <v>100</v>
      </c>
      <c r="C265" s="11" t="s">
        <v>218</v>
      </c>
      <c r="D265" s="41">
        <v>100</v>
      </c>
      <c r="E265" s="11">
        <v>100</v>
      </c>
      <c r="F265" s="85"/>
      <c r="G265" s="12"/>
      <c r="H265" s="29">
        <f t="shared" ref="H265:H327" si="138">B265-E265</f>
        <v>0</v>
      </c>
      <c r="I265" s="57"/>
      <c r="J265" s="57"/>
      <c r="K265" s="79">
        <f t="shared" ref="K265:K327" si="139">(E265-D265)</f>
        <v>0</v>
      </c>
      <c r="L265" s="11"/>
      <c r="M265" s="49"/>
      <c r="N265" s="13"/>
      <c r="O265" s="85"/>
      <c r="P265" s="14"/>
      <c r="Q265" s="17">
        <f t="shared" si="133"/>
        <v>0</v>
      </c>
      <c r="R265" s="59"/>
      <c r="S265" s="31">
        <f t="shared" si="137"/>
        <v>0</v>
      </c>
    </row>
    <row r="266" spans="1:19" ht="35.25" customHeight="1" thickBot="1" x14ac:dyDescent="0.3">
      <c r="A266" s="69" t="s">
        <v>126</v>
      </c>
      <c r="B266" s="11">
        <v>100</v>
      </c>
      <c r="C266" s="11" t="s">
        <v>218</v>
      </c>
      <c r="D266" s="41">
        <v>100</v>
      </c>
      <c r="E266" s="11">
        <v>100</v>
      </c>
      <c r="F266" s="85"/>
      <c r="G266" s="12"/>
      <c r="H266" s="29">
        <f t="shared" si="138"/>
        <v>0</v>
      </c>
      <c r="I266" s="57"/>
      <c r="J266" s="57"/>
      <c r="K266" s="79">
        <f t="shared" si="139"/>
        <v>0</v>
      </c>
      <c r="L266" s="11"/>
      <c r="M266" s="49"/>
      <c r="N266" s="13"/>
      <c r="O266" s="85"/>
      <c r="P266" s="14"/>
      <c r="Q266" s="17">
        <f t="shared" si="133"/>
        <v>0</v>
      </c>
      <c r="R266" s="59"/>
      <c r="S266" s="31">
        <f t="shared" si="137"/>
        <v>0</v>
      </c>
    </row>
    <row r="267" spans="1:19" s="32" customFormat="1" ht="35.25" customHeight="1" thickBot="1" x14ac:dyDescent="0.3">
      <c r="A267" s="69" t="s">
        <v>181</v>
      </c>
      <c r="B267" s="11">
        <v>147</v>
      </c>
      <c r="C267" s="11" t="s">
        <v>182</v>
      </c>
      <c r="D267" s="41">
        <v>147</v>
      </c>
      <c r="E267" s="11">
        <v>147</v>
      </c>
      <c r="F267" s="85"/>
      <c r="G267" s="12"/>
      <c r="H267" s="29">
        <f t="shared" si="138"/>
        <v>0</v>
      </c>
      <c r="I267" s="57"/>
      <c r="J267" s="57"/>
      <c r="K267" s="79">
        <f t="shared" si="139"/>
        <v>0</v>
      </c>
      <c r="L267" s="11">
        <v>36</v>
      </c>
      <c r="M267" s="49">
        <v>36</v>
      </c>
      <c r="N267" s="13">
        <v>36</v>
      </c>
      <c r="O267" s="85"/>
      <c r="P267" s="14"/>
      <c r="Q267" s="17">
        <f t="shared" si="133"/>
        <v>0</v>
      </c>
      <c r="R267" s="59"/>
      <c r="S267" s="31">
        <f t="shared" si="137"/>
        <v>0</v>
      </c>
    </row>
    <row r="268" spans="1:19" s="32" customFormat="1" ht="35.25" customHeight="1" thickBot="1" x14ac:dyDescent="0.3">
      <c r="A268" s="69" t="s">
        <v>178</v>
      </c>
      <c r="B268" s="11">
        <v>502</v>
      </c>
      <c r="C268" s="11" t="s">
        <v>183</v>
      </c>
      <c r="D268" s="41">
        <v>502</v>
      </c>
      <c r="E268" s="11">
        <v>502</v>
      </c>
      <c r="F268" s="85"/>
      <c r="G268" s="12"/>
      <c r="H268" s="29">
        <f t="shared" si="138"/>
        <v>0</v>
      </c>
      <c r="I268" s="57"/>
      <c r="J268" s="57"/>
      <c r="K268" s="79">
        <f t="shared" si="139"/>
        <v>0</v>
      </c>
      <c r="L268" s="11">
        <v>50</v>
      </c>
      <c r="M268" s="49">
        <v>50</v>
      </c>
      <c r="N268" s="13">
        <v>50</v>
      </c>
      <c r="O268" s="85"/>
      <c r="P268" s="14"/>
      <c r="Q268" s="17">
        <f t="shared" si="133"/>
        <v>0</v>
      </c>
      <c r="R268" s="59"/>
      <c r="S268" s="31">
        <f t="shared" si="137"/>
        <v>0</v>
      </c>
    </row>
    <row r="269" spans="1:19" ht="35.25" customHeight="1" thickBot="1" x14ac:dyDescent="0.3">
      <c r="A269" s="69" t="s">
        <v>163</v>
      </c>
      <c r="B269" s="11">
        <v>72</v>
      </c>
      <c r="C269" s="11" t="s">
        <v>200</v>
      </c>
      <c r="D269" s="41">
        <v>72</v>
      </c>
      <c r="E269" s="11">
        <v>72</v>
      </c>
      <c r="F269" s="85"/>
      <c r="G269" s="12"/>
      <c r="H269" s="29">
        <f t="shared" si="138"/>
        <v>0</v>
      </c>
      <c r="I269" s="57"/>
      <c r="J269" s="57"/>
      <c r="K269" s="79">
        <f t="shared" si="139"/>
        <v>0</v>
      </c>
      <c r="L269" s="11"/>
      <c r="M269" s="49"/>
      <c r="N269" s="13"/>
      <c r="O269" s="85"/>
      <c r="P269" s="14"/>
      <c r="Q269" s="17">
        <f t="shared" si="133"/>
        <v>0</v>
      </c>
      <c r="R269" s="59"/>
      <c r="S269" s="31">
        <f t="shared" si="137"/>
        <v>0</v>
      </c>
    </row>
    <row r="270" spans="1:19" ht="35.25" customHeight="1" thickBot="1" x14ac:dyDescent="0.3">
      <c r="A270" s="69" t="s">
        <v>199</v>
      </c>
      <c r="B270" s="11"/>
      <c r="C270" s="11" t="s">
        <v>198</v>
      </c>
      <c r="D270" s="41"/>
      <c r="E270" s="11"/>
      <c r="F270" s="85"/>
      <c r="G270" s="12"/>
      <c r="H270" s="29">
        <f t="shared" si="138"/>
        <v>0</v>
      </c>
      <c r="I270" s="57"/>
      <c r="J270" s="57"/>
      <c r="K270" s="79">
        <f t="shared" si="139"/>
        <v>0</v>
      </c>
      <c r="L270" s="11">
        <v>1</v>
      </c>
      <c r="M270" s="49">
        <v>1</v>
      </c>
      <c r="N270" s="13">
        <v>1</v>
      </c>
      <c r="O270" s="85" t="s">
        <v>158</v>
      </c>
      <c r="P270" s="14"/>
      <c r="Q270" s="17">
        <f t="shared" si="133"/>
        <v>0</v>
      </c>
      <c r="R270" s="59"/>
      <c r="S270" s="31">
        <f t="shared" si="137"/>
        <v>0</v>
      </c>
    </row>
    <row r="271" spans="1:19" ht="35.25" customHeight="1" thickBot="1" x14ac:dyDescent="0.3">
      <c r="A271" s="69" t="s">
        <v>185</v>
      </c>
      <c r="B271" s="11">
        <v>251</v>
      </c>
      <c r="C271" s="11"/>
      <c r="D271" s="41">
        <v>251</v>
      </c>
      <c r="E271" s="11">
        <v>251</v>
      </c>
      <c r="F271" s="85" t="s">
        <v>186</v>
      </c>
      <c r="G271" s="12"/>
      <c r="H271" s="29">
        <f t="shared" si="138"/>
        <v>0</v>
      </c>
      <c r="I271" s="57"/>
      <c r="J271" s="57"/>
      <c r="K271" s="79">
        <f t="shared" si="139"/>
        <v>0</v>
      </c>
      <c r="L271" s="11">
        <v>251</v>
      </c>
      <c r="M271" s="49">
        <v>251</v>
      </c>
      <c r="N271" s="13">
        <v>251</v>
      </c>
      <c r="O271" s="85" t="s">
        <v>188</v>
      </c>
      <c r="P271" s="14"/>
      <c r="Q271" s="17">
        <f t="shared" si="133"/>
        <v>0</v>
      </c>
      <c r="R271" s="59"/>
      <c r="S271" s="31">
        <f t="shared" ref="S271:S279" si="140">(N271-M271)</f>
        <v>0</v>
      </c>
    </row>
    <row r="272" spans="1:19" ht="35.25" customHeight="1" thickBot="1" x14ac:dyDescent="0.3">
      <c r="A272" s="69" t="s">
        <v>184</v>
      </c>
      <c r="B272" s="11">
        <v>251</v>
      </c>
      <c r="C272" s="11"/>
      <c r="D272" s="41">
        <v>251</v>
      </c>
      <c r="E272" s="11">
        <v>251</v>
      </c>
      <c r="F272" s="85" t="s">
        <v>187</v>
      </c>
      <c r="G272" s="12"/>
      <c r="H272" s="29">
        <f t="shared" si="138"/>
        <v>0</v>
      </c>
      <c r="I272" s="57"/>
      <c r="J272" s="57"/>
      <c r="K272" s="79">
        <f t="shared" si="139"/>
        <v>0</v>
      </c>
      <c r="L272" s="11">
        <v>251</v>
      </c>
      <c r="M272" s="49">
        <v>251</v>
      </c>
      <c r="N272" s="13">
        <v>251</v>
      </c>
      <c r="O272" s="85" t="s">
        <v>189</v>
      </c>
      <c r="P272" s="14"/>
      <c r="Q272" s="17">
        <f t="shared" si="133"/>
        <v>0</v>
      </c>
      <c r="R272" s="59"/>
      <c r="S272" s="31">
        <f t="shared" si="140"/>
        <v>0</v>
      </c>
    </row>
    <row r="273" spans="1:19" ht="35.25" customHeight="1" thickBot="1" x14ac:dyDescent="0.3">
      <c r="A273" s="69" t="s">
        <v>205</v>
      </c>
      <c r="B273" s="11">
        <v>100</v>
      </c>
      <c r="C273" s="11" t="s">
        <v>208</v>
      </c>
      <c r="D273" s="41">
        <v>100</v>
      </c>
      <c r="E273" s="11">
        <v>100</v>
      </c>
      <c r="F273" s="85"/>
      <c r="G273" s="12"/>
      <c r="H273" s="29">
        <f t="shared" si="138"/>
        <v>0</v>
      </c>
      <c r="I273" s="57"/>
      <c r="J273" s="57"/>
      <c r="K273" s="79">
        <f t="shared" si="139"/>
        <v>0</v>
      </c>
      <c r="L273" s="11"/>
      <c r="M273" s="49"/>
      <c r="N273" s="13"/>
      <c r="O273" s="85"/>
      <c r="P273" s="14"/>
      <c r="Q273" s="17">
        <f t="shared" si="133"/>
        <v>0</v>
      </c>
      <c r="R273" s="59"/>
      <c r="S273" s="31">
        <f t="shared" si="140"/>
        <v>0</v>
      </c>
    </row>
    <row r="274" spans="1:19" ht="35.25" customHeight="1" thickBot="1" x14ac:dyDescent="0.3">
      <c r="A274" s="69" t="s">
        <v>161</v>
      </c>
      <c r="B274" s="11">
        <v>605</v>
      </c>
      <c r="C274" s="11" t="s">
        <v>165</v>
      </c>
      <c r="D274" s="41">
        <v>605</v>
      </c>
      <c r="E274" s="11">
        <v>605</v>
      </c>
      <c r="F274" s="85"/>
      <c r="G274" s="12"/>
      <c r="H274" s="29">
        <f t="shared" si="138"/>
        <v>0</v>
      </c>
      <c r="I274" s="57"/>
      <c r="J274" s="57"/>
      <c r="K274" s="79">
        <f t="shared" si="139"/>
        <v>0</v>
      </c>
      <c r="L274" s="11"/>
      <c r="M274" s="49"/>
      <c r="N274" s="13"/>
      <c r="O274" s="85"/>
      <c r="P274" s="14"/>
      <c r="Q274" s="17">
        <f t="shared" si="133"/>
        <v>0</v>
      </c>
      <c r="R274" s="59"/>
      <c r="S274" s="31">
        <f t="shared" si="140"/>
        <v>0</v>
      </c>
    </row>
    <row r="275" spans="1:19" ht="35.25" customHeight="1" thickBot="1" x14ac:dyDescent="0.3">
      <c r="A275" s="69" t="s">
        <v>172</v>
      </c>
      <c r="B275" s="11">
        <v>51</v>
      </c>
      <c r="C275" s="11" t="s">
        <v>171</v>
      </c>
      <c r="D275" s="41">
        <v>51</v>
      </c>
      <c r="E275" s="11">
        <v>51</v>
      </c>
      <c r="F275" s="85"/>
      <c r="G275" s="12"/>
      <c r="H275" s="29">
        <f t="shared" si="138"/>
        <v>0</v>
      </c>
      <c r="I275" s="57"/>
      <c r="J275" s="57"/>
      <c r="K275" s="79">
        <f t="shared" si="139"/>
        <v>0</v>
      </c>
      <c r="L275" s="11">
        <v>50</v>
      </c>
      <c r="M275" s="49">
        <v>50</v>
      </c>
      <c r="N275" s="13">
        <v>50</v>
      </c>
      <c r="O275" s="85"/>
      <c r="P275" s="14"/>
      <c r="Q275" s="17">
        <f t="shared" si="133"/>
        <v>0</v>
      </c>
      <c r="R275" s="59"/>
      <c r="S275" s="31">
        <f t="shared" si="140"/>
        <v>0</v>
      </c>
    </row>
    <row r="276" spans="1:19" ht="35.25" customHeight="1" thickBot="1" x14ac:dyDescent="0.3">
      <c r="A276" s="69" t="s">
        <v>159</v>
      </c>
      <c r="B276" s="11"/>
      <c r="C276" s="11" t="s">
        <v>147</v>
      </c>
      <c r="D276" s="41"/>
      <c r="E276" s="11"/>
      <c r="F276" s="85"/>
      <c r="G276" s="12"/>
      <c r="H276" s="29">
        <f t="shared" si="138"/>
        <v>0</v>
      </c>
      <c r="I276" s="57"/>
      <c r="J276" s="57"/>
      <c r="K276" s="79">
        <f t="shared" si="139"/>
        <v>0</v>
      </c>
      <c r="L276" s="11">
        <v>500</v>
      </c>
      <c r="M276" s="49">
        <v>500</v>
      </c>
      <c r="N276" s="13">
        <v>500</v>
      </c>
      <c r="O276" s="85" t="s">
        <v>157</v>
      </c>
      <c r="P276" s="14"/>
      <c r="Q276" s="17">
        <f t="shared" si="133"/>
        <v>0</v>
      </c>
      <c r="R276" s="59"/>
      <c r="S276" s="31">
        <f t="shared" si="140"/>
        <v>0</v>
      </c>
    </row>
    <row r="277" spans="1:19" ht="35.25" customHeight="1" thickBot="1" x14ac:dyDescent="0.3">
      <c r="A277" s="69" t="s">
        <v>110</v>
      </c>
      <c r="B277" s="11">
        <v>450</v>
      </c>
      <c r="C277" s="11" t="s">
        <v>195</v>
      </c>
      <c r="D277" s="41">
        <v>450</v>
      </c>
      <c r="E277" s="11">
        <v>450</v>
      </c>
      <c r="F277" s="85"/>
      <c r="G277" s="12"/>
      <c r="H277" s="29">
        <f t="shared" si="138"/>
        <v>0</v>
      </c>
      <c r="I277" s="57"/>
      <c r="J277" s="57"/>
      <c r="K277" s="79">
        <f t="shared" si="139"/>
        <v>0</v>
      </c>
      <c r="L277" s="11"/>
      <c r="M277" s="49"/>
      <c r="N277" s="13"/>
      <c r="O277" s="85"/>
      <c r="P277" s="14"/>
      <c r="Q277" s="17">
        <f t="shared" si="133"/>
        <v>0</v>
      </c>
      <c r="R277" s="59"/>
      <c r="S277" s="31">
        <f t="shared" si="140"/>
        <v>0</v>
      </c>
    </row>
    <row r="278" spans="1:19" ht="35.25" customHeight="1" thickBot="1" x14ac:dyDescent="0.3">
      <c r="A278" s="69" t="s">
        <v>168</v>
      </c>
      <c r="B278" s="11">
        <v>300</v>
      </c>
      <c r="C278" s="11" t="s">
        <v>193</v>
      </c>
      <c r="D278" s="41">
        <v>300</v>
      </c>
      <c r="E278" s="11">
        <v>300</v>
      </c>
      <c r="F278" s="85"/>
      <c r="G278" s="12"/>
      <c r="H278" s="29">
        <f t="shared" si="138"/>
        <v>0</v>
      </c>
      <c r="I278" s="57"/>
      <c r="J278" s="57"/>
      <c r="K278" s="79">
        <f t="shared" si="139"/>
        <v>0</v>
      </c>
      <c r="L278" s="11"/>
      <c r="M278" s="49"/>
      <c r="N278" s="13"/>
      <c r="O278" s="85"/>
      <c r="P278" s="14"/>
      <c r="Q278" s="17">
        <f t="shared" si="133"/>
        <v>0</v>
      </c>
      <c r="R278" s="59"/>
      <c r="S278" s="31">
        <f t="shared" si="140"/>
        <v>0</v>
      </c>
    </row>
    <row r="279" spans="1:19" ht="35.25" customHeight="1" thickBot="1" x14ac:dyDescent="0.3">
      <c r="A279" s="69" t="s">
        <v>33</v>
      </c>
      <c r="B279" s="11">
        <v>56</v>
      </c>
      <c r="C279" s="11" t="s">
        <v>190</v>
      </c>
      <c r="D279" s="41">
        <v>56</v>
      </c>
      <c r="E279" s="11">
        <v>56</v>
      </c>
      <c r="F279" s="85"/>
      <c r="G279" s="12"/>
      <c r="H279" s="29">
        <f t="shared" si="138"/>
        <v>0</v>
      </c>
      <c r="I279" s="57"/>
      <c r="J279" s="57"/>
      <c r="K279" s="79">
        <f t="shared" si="139"/>
        <v>0</v>
      </c>
      <c r="L279" s="11">
        <v>1</v>
      </c>
      <c r="M279" s="49">
        <v>1</v>
      </c>
      <c r="N279" s="13">
        <v>1</v>
      </c>
      <c r="O279" s="85"/>
      <c r="P279" s="14"/>
      <c r="Q279" s="17">
        <f t="shared" si="133"/>
        <v>0</v>
      </c>
      <c r="R279" s="59"/>
      <c r="S279" s="31">
        <f t="shared" si="140"/>
        <v>0</v>
      </c>
    </row>
    <row r="280" spans="1:19" ht="35.25" customHeight="1" thickBot="1" x14ac:dyDescent="0.3">
      <c r="A280" s="69" t="s">
        <v>191</v>
      </c>
      <c r="B280" s="11"/>
      <c r="C280" s="11"/>
      <c r="D280" s="41"/>
      <c r="E280" s="11"/>
      <c r="F280" s="85"/>
      <c r="G280" s="12"/>
      <c r="H280" s="29">
        <f t="shared" si="138"/>
        <v>0</v>
      </c>
      <c r="I280" s="57"/>
      <c r="J280" s="57"/>
      <c r="K280" s="79">
        <f t="shared" si="139"/>
        <v>0</v>
      </c>
      <c r="L280" s="11">
        <v>101</v>
      </c>
      <c r="M280" s="49">
        <v>101</v>
      </c>
      <c r="N280" s="13">
        <v>101</v>
      </c>
      <c r="O280" s="85"/>
      <c r="P280" s="14"/>
      <c r="Q280" s="17">
        <f t="shared" si="133"/>
        <v>0</v>
      </c>
      <c r="R280" s="59"/>
      <c r="S280" s="31">
        <f t="shared" ref="S280:S299" si="141">(N280-M280)</f>
        <v>0</v>
      </c>
    </row>
    <row r="281" spans="1:19" ht="35.25" customHeight="1" thickBot="1" x14ac:dyDescent="0.3">
      <c r="A281" s="69" t="s">
        <v>180</v>
      </c>
      <c r="B281" s="11">
        <v>56</v>
      </c>
      <c r="C281" s="11" t="s">
        <v>183</v>
      </c>
      <c r="D281" s="41">
        <v>56</v>
      </c>
      <c r="E281" s="11">
        <v>56</v>
      </c>
      <c r="F281" s="85"/>
      <c r="G281" s="12"/>
      <c r="H281" s="29">
        <f t="shared" si="138"/>
        <v>0</v>
      </c>
      <c r="I281" s="57"/>
      <c r="J281" s="57"/>
      <c r="K281" s="79">
        <f t="shared" si="139"/>
        <v>0</v>
      </c>
      <c r="L281" s="11"/>
      <c r="M281" s="49"/>
      <c r="N281" s="13"/>
      <c r="O281" s="85"/>
      <c r="P281" s="14"/>
      <c r="Q281" s="17">
        <f t="shared" si="133"/>
        <v>0</v>
      </c>
      <c r="R281" s="59"/>
      <c r="S281" s="31">
        <f t="shared" si="141"/>
        <v>0</v>
      </c>
    </row>
    <row r="282" spans="1:19" ht="35.25" customHeight="1" thickBot="1" x14ac:dyDescent="0.3">
      <c r="A282" s="69" t="s">
        <v>179</v>
      </c>
      <c r="B282" s="11">
        <v>31</v>
      </c>
      <c r="C282" s="11" t="s">
        <v>183</v>
      </c>
      <c r="D282" s="41">
        <v>31</v>
      </c>
      <c r="E282" s="11">
        <v>31</v>
      </c>
      <c r="F282" s="85"/>
      <c r="G282" s="12"/>
      <c r="H282" s="29">
        <f t="shared" si="138"/>
        <v>0</v>
      </c>
      <c r="I282" s="57"/>
      <c r="J282" s="57"/>
      <c r="K282" s="79">
        <f t="shared" si="139"/>
        <v>0</v>
      </c>
      <c r="L282" s="11"/>
      <c r="M282" s="49"/>
      <c r="N282" s="13"/>
      <c r="O282" s="85"/>
      <c r="P282" s="14"/>
      <c r="Q282" s="17">
        <f t="shared" si="133"/>
        <v>0</v>
      </c>
      <c r="R282" s="59"/>
      <c r="S282" s="31">
        <f t="shared" si="141"/>
        <v>0</v>
      </c>
    </row>
    <row r="283" spans="1:19" ht="35.25" customHeight="1" thickBot="1" x14ac:dyDescent="0.3">
      <c r="A283" s="69" t="s">
        <v>15</v>
      </c>
      <c r="B283" s="11">
        <v>180</v>
      </c>
      <c r="C283" s="11" t="s">
        <v>176</v>
      </c>
      <c r="D283" s="41">
        <v>180</v>
      </c>
      <c r="E283" s="11">
        <v>180</v>
      </c>
      <c r="F283" s="85"/>
      <c r="G283" s="12"/>
      <c r="H283" s="29">
        <f t="shared" si="138"/>
        <v>0</v>
      </c>
      <c r="I283" s="57"/>
      <c r="J283" s="57"/>
      <c r="K283" s="79">
        <f t="shared" si="139"/>
        <v>0</v>
      </c>
      <c r="L283" s="11">
        <v>12</v>
      </c>
      <c r="M283" s="49">
        <v>12</v>
      </c>
      <c r="N283" s="13">
        <v>12</v>
      </c>
      <c r="O283" s="85"/>
      <c r="P283" s="14"/>
      <c r="Q283" s="17">
        <f t="shared" si="133"/>
        <v>0</v>
      </c>
      <c r="R283" s="59"/>
      <c r="S283" s="31">
        <f t="shared" si="141"/>
        <v>0</v>
      </c>
    </row>
    <row r="284" spans="1:19" ht="35.25" customHeight="1" thickBot="1" x14ac:dyDescent="0.3">
      <c r="A284" s="69" t="s">
        <v>175</v>
      </c>
      <c r="B284" s="11">
        <v>252</v>
      </c>
      <c r="C284" s="11" t="s">
        <v>174</v>
      </c>
      <c r="D284" s="41">
        <v>252</v>
      </c>
      <c r="E284" s="11">
        <v>252</v>
      </c>
      <c r="F284" s="85"/>
      <c r="G284" s="12"/>
      <c r="H284" s="29">
        <f t="shared" si="138"/>
        <v>0</v>
      </c>
      <c r="I284" s="57"/>
      <c r="J284" s="57"/>
      <c r="K284" s="79">
        <f t="shared" si="139"/>
        <v>0</v>
      </c>
      <c r="L284" s="11">
        <v>102</v>
      </c>
      <c r="M284" s="49">
        <v>102</v>
      </c>
      <c r="N284" s="13">
        <v>102</v>
      </c>
      <c r="O284" s="85"/>
      <c r="P284" s="14"/>
      <c r="Q284" s="17">
        <f t="shared" si="133"/>
        <v>0</v>
      </c>
      <c r="R284" s="59"/>
      <c r="S284" s="31">
        <f t="shared" si="141"/>
        <v>0</v>
      </c>
    </row>
    <row r="285" spans="1:19" ht="35.25" customHeight="1" thickBot="1" x14ac:dyDescent="0.3">
      <c r="A285" s="69" t="s">
        <v>173</v>
      </c>
      <c r="B285" s="11">
        <v>120</v>
      </c>
      <c r="C285" s="11" t="s">
        <v>174</v>
      </c>
      <c r="D285" s="41">
        <v>120</v>
      </c>
      <c r="E285" s="11">
        <v>120</v>
      </c>
      <c r="F285" s="85"/>
      <c r="G285" s="12"/>
      <c r="H285" s="29">
        <f t="shared" si="138"/>
        <v>0</v>
      </c>
      <c r="I285" s="57"/>
      <c r="J285" s="57"/>
      <c r="K285" s="79">
        <f t="shared" si="139"/>
        <v>0</v>
      </c>
      <c r="L285" s="11">
        <v>24</v>
      </c>
      <c r="M285" s="49">
        <v>24</v>
      </c>
      <c r="N285" s="13">
        <v>24</v>
      </c>
      <c r="O285" s="85" t="s">
        <v>156</v>
      </c>
      <c r="P285" s="14"/>
      <c r="Q285" s="17">
        <f t="shared" si="133"/>
        <v>0</v>
      </c>
      <c r="R285" s="59"/>
      <c r="S285" s="31">
        <f t="shared" si="141"/>
        <v>0</v>
      </c>
    </row>
    <row r="286" spans="1:19" ht="35.25" customHeight="1" thickBot="1" x14ac:dyDescent="0.3">
      <c r="A286" s="69" t="s">
        <v>172</v>
      </c>
      <c r="B286" s="11"/>
      <c r="C286" s="11" t="s">
        <v>171</v>
      </c>
      <c r="D286" s="41"/>
      <c r="E286" s="11"/>
      <c r="F286" s="85"/>
      <c r="G286" s="12"/>
      <c r="H286" s="29">
        <f t="shared" si="138"/>
        <v>0</v>
      </c>
      <c r="I286" s="57"/>
      <c r="J286" s="57"/>
      <c r="K286" s="79">
        <f t="shared" si="139"/>
        <v>0</v>
      </c>
      <c r="L286" s="11">
        <v>12</v>
      </c>
      <c r="M286" s="49">
        <v>12</v>
      </c>
      <c r="N286" s="13">
        <v>12</v>
      </c>
      <c r="O286" s="85" t="s">
        <v>156</v>
      </c>
      <c r="P286" s="14"/>
      <c r="Q286" s="17">
        <f t="shared" si="133"/>
        <v>0</v>
      </c>
      <c r="R286" s="59"/>
      <c r="S286" s="31">
        <f t="shared" si="141"/>
        <v>0</v>
      </c>
    </row>
    <row r="287" spans="1:19" ht="35.25" customHeight="1" thickBot="1" x14ac:dyDescent="0.3">
      <c r="A287" s="69" t="s">
        <v>170</v>
      </c>
      <c r="B287" s="11">
        <v>232</v>
      </c>
      <c r="C287" s="11" t="s">
        <v>171</v>
      </c>
      <c r="D287" s="41">
        <v>232</v>
      </c>
      <c r="E287" s="11">
        <v>232</v>
      </c>
      <c r="F287" s="85"/>
      <c r="G287" s="12"/>
      <c r="H287" s="29">
        <f t="shared" si="138"/>
        <v>0</v>
      </c>
      <c r="I287" s="57"/>
      <c r="J287" s="57"/>
      <c r="K287" s="79">
        <f t="shared" si="139"/>
        <v>0</v>
      </c>
      <c r="L287" s="11">
        <v>30</v>
      </c>
      <c r="M287" s="49">
        <v>30</v>
      </c>
      <c r="N287" s="13">
        <v>30</v>
      </c>
      <c r="O287" s="85"/>
      <c r="P287" s="14"/>
      <c r="Q287" s="17">
        <f t="shared" si="133"/>
        <v>0</v>
      </c>
      <c r="R287" s="59"/>
      <c r="S287" s="31">
        <f t="shared" si="141"/>
        <v>0</v>
      </c>
    </row>
    <row r="288" spans="1:19" ht="35.25" customHeight="1" thickBot="1" x14ac:dyDescent="0.3">
      <c r="A288" s="69" t="s">
        <v>110</v>
      </c>
      <c r="B288" s="11">
        <v>135</v>
      </c>
      <c r="C288" s="11"/>
      <c r="D288" s="41">
        <v>135</v>
      </c>
      <c r="E288" s="11">
        <v>135</v>
      </c>
      <c r="F288" s="85"/>
      <c r="G288" s="12"/>
      <c r="H288" s="29">
        <f t="shared" si="138"/>
        <v>0</v>
      </c>
      <c r="I288" s="57"/>
      <c r="J288" s="57"/>
      <c r="K288" s="79">
        <f t="shared" si="139"/>
        <v>0</v>
      </c>
      <c r="L288" s="11"/>
      <c r="M288" s="49"/>
      <c r="N288" s="13"/>
      <c r="O288" s="85"/>
      <c r="P288" s="14"/>
      <c r="Q288" s="17">
        <f t="shared" si="133"/>
        <v>0</v>
      </c>
      <c r="R288" s="59"/>
      <c r="S288" s="31">
        <f t="shared" si="141"/>
        <v>0</v>
      </c>
    </row>
    <row r="289" spans="1:19" ht="35.25" customHeight="1" thickBot="1" x14ac:dyDescent="0.3">
      <c r="A289" s="69" t="s">
        <v>135</v>
      </c>
      <c r="B289" s="11">
        <v>102</v>
      </c>
      <c r="C289" s="11" t="s">
        <v>164</v>
      </c>
      <c r="D289" s="41">
        <v>102</v>
      </c>
      <c r="E289" s="11">
        <v>102</v>
      </c>
      <c r="F289" s="85"/>
      <c r="G289" s="12"/>
      <c r="H289" s="29">
        <f t="shared" si="138"/>
        <v>0</v>
      </c>
      <c r="I289" s="57"/>
      <c r="J289" s="57"/>
      <c r="K289" s="79">
        <f t="shared" si="139"/>
        <v>0</v>
      </c>
      <c r="L289" s="11"/>
      <c r="M289" s="49"/>
      <c r="N289" s="13"/>
      <c r="O289" s="85"/>
      <c r="P289" s="14"/>
      <c r="Q289" s="17">
        <f t="shared" si="133"/>
        <v>0</v>
      </c>
      <c r="R289" s="59"/>
      <c r="S289" s="31">
        <f t="shared" si="141"/>
        <v>0</v>
      </c>
    </row>
    <row r="290" spans="1:19" ht="35.25" customHeight="1" thickBot="1" x14ac:dyDescent="0.3">
      <c r="A290" s="69" t="s">
        <v>168</v>
      </c>
      <c r="B290" s="11">
        <v>152</v>
      </c>
      <c r="C290" s="11" t="s">
        <v>164</v>
      </c>
      <c r="D290" s="41">
        <v>152</v>
      </c>
      <c r="E290" s="11">
        <v>152</v>
      </c>
      <c r="F290" s="85"/>
      <c r="G290" s="12"/>
      <c r="H290" s="29">
        <f t="shared" si="138"/>
        <v>0</v>
      </c>
      <c r="I290" s="57"/>
      <c r="J290" s="57"/>
      <c r="K290" s="79">
        <f t="shared" si="139"/>
        <v>0</v>
      </c>
      <c r="L290" s="11">
        <v>12</v>
      </c>
      <c r="M290" s="49">
        <v>12</v>
      </c>
      <c r="N290" s="13">
        <v>12</v>
      </c>
      <c r="O290" s="85"/>
      <c r="P290" s="14"/>
      <c r="Q290" s="17">
        <f t="shared" si="133"/>
        <v>0</v>
      </c>
      <c r="R290" s="59"/>
      <c r="S290" s="31">
        <f t="shared" si="141"/>
        <v>0</v>
      </c>
    </row>
    <row r="291" spans="1:19" ht="35.25" customHeight="1" thickBot="1" x14ac:dyDescent="0.3">
      <c r="A291" s="69" t="s">
        <v>160</v>
      </c>
      <c r="B291" s="11"/>
      <c r="C291" s="11" t="s">
        <v>165</v>
      </c>
      <c r="D291" s="41"/>
      <c r="E291" s="11"/>
      <c r="F291" s="85"/>
      <c r="G291" s="12"/>
      <c r="H291" s="29">
        <f t="shared" si="138"/>
        <v>0</v>
      </c>
      <c r="I291" s="57"/>
      <c r="J291" s="57"/>
      <c r="K291" s="79">
        <f t="shared" si="139"/>
        <v>0</v>
      </c>
      <c r="L291" s="11">
        <v>50</v>
      </c>
      <c r="M291" s="49">
        <v>50</v>
      </c>
      <c r="N291" s="13">
        <v>50</v>
      </c>
      <c r="O291" s="85" t="s">
        <v>156</v>
      </c>
      <c r="P291" s="14"/>
      <c r="Q291" s="17">
        <f t="shared" si="133"/>
        <v>0</v>
      </c>
      <c r="R291" s="59"/>
      <c r="S291" s="31">
        <f t="shared" si="141"/>
        <v>0</v>
      </c>
    </row>
    <row r="292" spans="1:19" ht="35.25" customHeight="1" thickBot="1" x14ac:dyDescent="0.3">
      <c r="A292" s="69" t="s">
        <v>137</v>
      </c>
      <c r="B292" s="11">
        <v>851</v>
      </c>
      <c r="C292" s="11" t="s">
        <v>138</v>
      </c>
      <c r="D292" s="41">
        <v>851</v>
      </c>
      <c r="E292" s="11">
        <v>851</v>
      </c>
      <c r="F292" s="85"/>
      <c r="G292" s="20"/>
      <c r="H292" s="17">
        <f t="shared" si="138"/>
        <v>0</v>
      </c>
      <c r="I292" s="59"/>
      <c r="J292" s="59"/>
      <c r="K292" s="79">
        <f t="shared" si="139"/>
        <v>0</v>
      </c>
      <c r="L292" s="23">
        <v>100</v>
      </c>
      <c r="M292" s="49">
        <v>100</v>
      </c>
      <c r="N292" s="13">
        <v>100</v>
      </c>
      <c r="O292" s="85"/>
      <c r="P292" s="14"/>
      <c r="Q292" s="17">
        <f t="shared" si="133"/>
        <v>0</v>
      </c>
      <c r="R292" s="59"/>
      <c r="S292" s="31">
        <f t="shared" si="141"/>
        <v>0</v>
      </c>
    </row>
    <row r="293" spans="1:19" ht="35.25" customHeight="1" thickBot="1" x14ac:dyDescent="0.3">
      <c r="A293" s="69" t="s">
        <v>13</v>
      </c>
      <c r="B293" s="11">
        <v>500</v>
      </c>
      <c r="C293" s="11" t="s">
        <v>136</v>
      </c>
      <c r="D293" s="41">
        <v>500</v>
      </c>
      <c r="E293" s="11">
        <v>500</v>
      </c>
      <c r="F293" s="85"/>
      <c r="G293" s="20"/>
      <c r="H293" s="17">
        <f t="shared" si="138"/>
        <v>0</v>
      </c>
      <c r="I293" s="59"/>
      <c r="J293" s="59"/>
      <c r="K293" s="79">
        <f t="shared" si="139"/>
        <v>0</v>
      </c>
      <c r="L293" s="23"/>
      <c r="M293" s="49"/>
      <c r="N293" s="13"/>
      <c r="O293" s="85"/>
      <c r="P293" s="14"/>
      <c r="Q293" s="17">
        <f t="shared" si="133"/>
        <v>0</v>
      </c>
      <c r="R293" s="59"/>
      <c r="S293" s="31">
        <f t="shared" si="141"/>
        <v>0</v>
      </c>
    </row>
    <row r="294" spans="1:19" ht="35.25" customHeight="1" thickBot="1" x14ac:dyDescent="0.3">
      <c r="A294" s="69" t="s">
        <v>59</v>
      </c>
      <c r="B294" s="11">
        <v>581</v>
      </c>
      <c r="C294" s="11" t="s">
        <v>136</v>
      </c>
      <c r="D294" s="41">
        <v>581</v>
      </c>
      <c r="E294" s="11">
        <v>581</v>
      </c>
      <c r="F294" s="85"/>
      <c r="G294" s="20"/>
      <c r="H294" s="17">
        <f t="shared" si="138"/>
        <v>0</v>
      </c>
      <c r="I294" s="59"/>
      <c r="J294" s="59"/>
      <c r="K294" s="79">
        <f t="shared" si="139"/>
        <v>0</v>
      </c>
      <c r="L294" s="23">
        <v>25</v>
      </c>
      <c r="M294" s="49">
        <v>25</v>
      </c>
      <c r="N294" s="13">
        <v>25</v>
      </c>
      <c r="O294" s="85"/>
      <c r="P294" s="14"/>
      <c r="Q294" s="17">
        <f t="shared" si="133"/>
        <v>0</v>
      </c>
      <c r="R294" s="59"/>
      <c r="S294" s="31">
        <f t="shared" si="141"/>
        <v>0</v>
      </c>
    </row>
    <row r="295" spans="1:19" ht="35.25" customHeight="1" thickBot="1" x14ac:dyDescent="0.3">
      <c r="A295" s="69" t="s">
        <v>145</v>
      </c>
      <c r="B295" s="11">
        <v>160</v>
      </c>
      <c r="C295" s="11" t="s">
        <v>141</v>
      </c>
      <c r="D295" s="41">
        <v>160</v>
      </c>
      <c r="E295" s="11">
        <v>160</v>
      </c>
      <c r="F295" s="85"/>
      <c r="G295" s="12"/>
      <c r="H295" s="29">
        <f t="shared" si="138"/>
        <v>0</v>
      </c>
      <c r="I295" s="57"/>
      <c r="J295" s="57"/>
      <c r="K295" s="79">
        <f t="shared" si="139"/>
        <v>0</v>
      </c>
      <c r="L295" s="11"/>
      <c r="M295" s="49"/>
      <c r="N295" s="13"/>
      <c r="O295" s="85"/>
      <c r="P295" s="14"/>
      <c r="Q295" s="17">
        <f t="shared" si="133"/>
        <v>0</v>
      </c>
      <c r="R295" s="59"/>
      <c r="S295" s="31">
        <f t="shared" si="141"/>
        <v>0</v>
      </c>
    </row>
    <row r="296" spans="1:19" ht="35.25" customHeight="1" thickBot="1" x14ac:dyDescent="0.3">
      <c r="A296" s="69" t="s">
        <v>143</v>
      </c>
      <c r="B296" s="11">
        <v>131</v>
      </c>
      <c r="C296" s="11" t="s">
        <v>141</v>
      </c>
      <c r="D296" s="41">
        <v>131</v>
      </c>
      <c r="E296" s="11">
        <v>131</v>
      </c>
      <c r="F296" s="85"/>
      <c r="G296" s="20"/>
      <c r="H296" s="17">
        <f t="shared" si="138"/>
        <v>0</v>
      </c>
      <c r="I296" s="59"/>
      <c r="J296" s="59"/>
      <c r="K296" s="79">
        <f t="shared" si="139"/>
        <v>0</v>
      </c>
      <c r="L296" s="23">
        <v>1</v>
      </c>
      <c r="M296" s="49">
        <v>1</v>
      </c>
      <c r="N296" s="13">
        <v>1</v>
      </c>
      <c r="O296" s="85"/>
      <c r="P296" s="14"/>
      <c r="Q296" s="17">
        <f t="shared" si="133"/>
        <v>0</v>
      </c>
      <c r="R296" s="59"/>
      <c r="S296" s="31">
        <f t="shared" si="141"/>
        <v>0</v>
      </c>
    </row>
    <row r="297" spans="1:19" ht="35.25" customHeight="1" thickBot="1" x14ac:dyDescent="0.3">
      <c r="A297" s="69" t="s">
        <v>167</v>
      </c>
      <c r="B297" s="11">
        <v>102</v>
      </c>
      <c r="C297" s="11" t="s">
        <v>166</v>
      </c>
      <c r="D297" s="41">
        <v>102</v>
      </c>
      <c r="E297" s="11">
        <v>102</v>
      </c>
      <c r="F297" s="85"/>
      <c r="G297" s="12"/>
      <c r="H297" s="29">
        <f t="shared" si="138"/>
        <v>0</v>
      </c>
      <c r="I297" s="57"/>
      <c r="J297" s="57"/>
      <c r="K297" s="79">
        <f t="shared" si="139"/>
        <v>0</v>
      </c>
      <c r="L297" s="11"/>
      <c r="M297" s="49"/>
      <c r="N297" s="13"/>
      <c r="O297" s="85"/>
      <c r="P297" s="14"/>
      <c r="Q297" s="17">
        <f t="shared" si="133"/>
        <v>0</v>
      </c>
      <c r="R297" s="59"/>
      <c r="S297" s="31">
        <f t="shared" si="141"/>
        <v>0</v>
      </c>
    </row>
    <row r="298" spans="1:19" ht="35.25" customHeight="1" thickBot="1" x14ac:dyDescent="0.3">
      <c r="A298" s="69" t="s">
        <v>31</v>
      </c>
      <c r="B298" s="11">
        <v>50</v>
      </c>
      <c r="C298" s="11" t="s">
        <v>166</v>
      </c>
      <c r="D298" s="41">
        <v>50</v>
      </c>
      <c r="E298" s="11">
        <v>50</v>
      </c>
      <c r="F298" s="85"/>
      <c r="G298" s="12"/>
      <c r="H298" s="29">
        <f t="shared" si="138"/>
        <v>0</v>
      </c>
      <c r="I298" s="57"/>
      <c r="J298" s="57"/>
      <c r="K298" s="79">
        <f t="shared" si="139"/>
        <v>0</v>
      </c>
      <c r="L298" s="11"/>
      <c r="M298" s="49"/>
      <c r="N298" s="13"/>
      <c r="O298" s="85"/>
      <c r="P298" s="14"/>
      <c r="Q298" s="17">
        <f t="shared" si="133"/>
        <v>0</v>
      </c>
      <c r="R298" s="59"/>
      <c r="S298" s="31">
        <f t="shared" si="141"/>
        <v>0</v>
      </c>
    </row>
    <row r="299" spans="1:19" ht="35.25" customHeight="1" thickBot="1" x14ac:dyDescent="0.3">
      <c r="A299" s="69" t="s">
        <v>163</v>
      </c>
      <c r="B299" s="11">
        <v>60</v>
      </c>
      <c r="C299" s="11" t="s">
        <v>164</v>
      </c>
      <c r="D299" s="41">
        <v>60</v>
      </c>
      <c r="E299" s="11">
        <v>60</v>
      </c>
      <c r="F299" s="85"/>
      <c r="G299" s="12"/>
      <c r="H299" s="29">
        <f t="shared" si="138"/>
        <v>0</v>
      </c>
      <c r="I299" s="57"/>
      <c r="J299" s="57"/>
      <c r="K299" s="79">
        <f t="shared" si="139"/>
        <v>0</v>
      </c>
      <c r="L299" s="11"/>
      <c r="M299" s="49"/>
      <c r="N299" s="13"/>
      <c r="O299" s="85"/>
      <c r="P299" s="14"/>
      <c r="Q299" s="17">
        <f t="shared" si="133"/>
        <v>0</v>
      </c>
      <c r="R299" s="59"/>
      <c r="S299" s="31">
        <f t="shared" si="141"/>
        <v>0</v>
      </c>
    </row>
    <row r="300" spans="1:19" ht="35.25" customHeight="1" thickBot="1" x14ac:dyDescent="0.3">
      <c r="A300" s="69" t="s">
        <v>153</v>
      </c>
      <c r="B300" s="11">
        <v>13</v>
      </c>
      <c r="C300" s="11" t="s">
        <v>154</v>
      </c>
      <c r="D300" s="41">
        <v>13</v>
      </c>
      <c r="E300" s="11">
        <v>13</v>
      </c>
      <c r="F300" s="85"/>
      <c r="G300" s="12"/>
      <c r="H300" s="29">
        <f t="shared" si="138"/>
        <v>0</v>
      </c>
      <c r="I300" s="57"/>
      <c r="J300" s="57"/>
      <c r="K300" s="79">
        <f t="shared" si="139"/>
        <v>0</v>
      </c>
      <c r="L300" s="11"/>
      <c r="M300" s="49"/>
      <c r="N300" s="13"/>
      <c r="O300" s="85"/>
      <c r="P300" s="14"/>
      <c r="Q300" s="17">
        <f t="shared" si="133"/>
        <v>0</v>
      </c>
      <c r="R300" s="59"/>
      <c r="S300" s="31">
        <f t="shared" ref="S300:S305" si="142">(N300-M300)</f>
        <v>0</v>
      </c>
    </row>
    <row r="301" spans="1:19" ht="35.25" customHeight="1" thickBot="1" x14ac:dyDescent="0.3">
      <c r="A301" s="69" t="s">
        <v>51</v>
      </c>
      <c r="B301" s="11">
        <v>250</v>
      </c>
      <c r="C301" s="11" t="s">
        <v>141</v>
      </c>
      <c r="D301" s="41">
        <v>250</v>
      </c>
      <c r="E301" s="11">
        <v>250</v>
      </c>
      <c r="F301" s="85"/>
      <c r="G301" s="12"/>
      <c r="H301" s="29">
        <f t="shared" si="138"/>
        <v>0</v>
      </c>
      <c r="I301" s="57"/>
      <c r="J301" s="57"/>
      <c r="K301" s="79">
        <f t="shared" si="139"/>
        <v>0</v>
      </c>
      <c r="L301" s="11">
        <v>12</v>
      </c>
      <c r="M301" s="49">
        <v>15</v>
      </c>
      <c r="N301" s="13">
        <v>15</v>
      </c>
      <c r="O301" s="85"/>
      <c r="P301" s="14"/>
      <c r="Q301" s="17">
        <f t="shared" si="133"/>
        <v>-3</v>
      </c>
      <c r="R301" s="59"/>
      <c r="S301" s="31">
        <f t="shared" si="142"/>
        <v>0</v>
      </c>
    </row>
    <row r="302" spans="1:19" ht="35.25" customHeight="1" thickBot="1" x14ac:dyDescent="0.3">
      <c r="A302" s="69" t="s">
        <v>144</v>
      </c>
      <c r="B302" s="11">
        <v>200</v>
      </c>
      <c r="C302" s="11" t="s">
        <v>141</v>
      </c>
      <c r="D302" s="41">
        <v>200</v>
      </c>
      <c r="E302" s="11">
        <v>200</v>
      </c>
      <c r="F302" s="85"/>
      <c r="G302" s="12"/>
      <c r="H302" s="29">
        <f t="shared" si="138"/>
        <v>0</v>
      </c>
      <c r="I302" s="57"/>
      <c r="J302" s="57"/>
      <c r="K302" s="79">
        <f t="shared" si="139"/>
        <v>0</v>
      </c>
      <c r="L302" s="11"/>
      <c r="M302" s="49"/>
      <c r="N302" s="13"/>
      <c r="O302" s="85"/>
      <c r="P302" s="14"/>
      <c r="Q302" s="17">
        <f t="shared" si="133"/>
        <v>0</v>
      </c>
      <c r="R302" s="59"/>
      <c r="S302" s="31">
        <f t="shared" si="142"/>
        <v>0</v>
      </c>
    </row>
    <row r="303" spans="1:19" ht="35.25" customHeight="1" thickBot="1" x14ac:dyDescent="0.3">
      <c r="A303" s="69" t="s">
        <v>142</v>
      </c>
      <c r="B303" s="11">
        <v>300</v>
      </c>
      <c r="C303" s="11" t="s">
        <v>141</v>
      </c>
      <c r="D303" s="41">
        <v>302</v>
      </c>
      <c r="E303" s="11">
        <v>302</v>
      </c>
      <c r="F303" s="85"/>
      <c r="G303" s="20"/>
      <c r="H303" s="17">
        <f t="shared" si="138"/>
        <v>-2</v>
      </c>
      <c r="I303" s="59"/>
      <c r="J303" s="59"/>
      <c r="K303" s="79">
        <f t="shared" si="139"/>
        <v>0</v>
      </c>
      <c r="L303" s="23"/>
      <c r="M303" s="49"/>
      <c r="N303" s="13"/>
      <c r="O303" s="85"/>
      <c r="P303" s="14"/>
      <c r="Q303" s="17">
        <f t="shared" si="133"/>
        <v>0</v>
      </c>
      <c r="R303" s="59"/>
      <c r="S303" s="31">
        <f t="shared" si="142"/>
        <v>0</v>
      </c>
    </row>
    <row r="304" spans="1:19" ht="35.25" customHeight="1" thickBot="1" x14ac:dyDescent="0.3">
      <c r="A304" s="69" t="s">
        <v>149</v>
      </c>
      <c r="B304" s="11">
        <v>140</v>
      </c>
      <c r="C304" s="11" t="s">
        <v>147</v>
      </c>
      <c r="D304" s="41">
        <v>140</v>
      </c>
      <c r="E304" s="11">
        <v>140</v>
      </c>
      <c r="F304" s="85"/>
      <c r="G304" s="20"/>
      <c r="H304" s="17">
        <f t="shared" si="138"/>
        <v>0</v>
      </c>
      <c r="I304" s="59"/>
      <c r="J304" s="59"/>
      <c r="K304" s="79">
        <f t="shared" si="139"/>
        <v>0</v>
      </c>
      <c r="L304" s="23"/>
      <c r="M304" s="49"/>
      <c r="N304" s="13"/>
      <c r="O304" s="85"/>
      <c r="P304" s="14"/>
      <c r="Q304" s="17">
        <f t="shared" si="133"/>
        <v>0</v>
      </c>
      <c r="R304" s="59"/>
      <c r="S304" s="31">
        <f t="shared" si="142"/>
        <v>0</v>
      </c>
    </row>
    <row r="305" spans="1:20" ht="35.25" customHeight="1" thickBot="1" x14ac:dyDescent="0.3">
      <c r="A305" s="69" t="s">
        <v>148</v>
      </c>
      <c r="B305" s="11">
        <v>396</v>
      </c>
      <c r="C305" s="11" t="s">
        <v>147</v>
      </c>
      <c r="D305" s="41">
        <v>396</v>
      </c>
      <c r="E305" s="11">
        <v>396</v>
      </c>
      <c r="F305" s="85"/>
      <c r="G305" s="20"/>
      <c r="H305" s="17">
        <f t="shared" si="138"/>
        <v>0</v>
      </c>
      <c r="I305" s="59"/>
      <c r="J305" s="59"/>
      <c r="K305" s="79">
        <f t="shared" si="139"/>
        <v>0</v>
      </c>
      <c r="L305" s="23">
        <v>30</v>
      </c>
      <c r="M305" s="49">
        <v>30</v>
      </c>
      <c r="N305" s="13">
        <v>30</v>
      </c>
      <c r="O305" s="85"/>
      <c r="P305" s="14"/>
      <c r="Q305" s="17">
        <f t="shared" si="133"/>
        <v>0</v>
      </c>
      <c r="R305" s="59"/>
      <c r="S305" s="31">
        <f t="shared" si="142"/>
        <v>0</v>
      </c>
    </row>
    <row r="306" spans="1:20" ht="35.25" customHeight="1" thickBot="1" x14ac:dyDescent="0.3">
      <c r="A306" s="69" t="s">
        <v>133</v>
      </c>
      <c r="B306" s="11">
        <v>24</v>
      </c>
      <c r="C306" s="11" t="s">
        <v>139</v>
      </c>
      <c r="D306" s="41">
        <v>24</v>
      </c>
      <c r="E306" s="11">
        <v>24</v>
      </c>
      <c r="F306" s="85"/>
      <c r="G306" s="20"/>
      <c r="H306" s="17">
        <f t="shared" si="138"/>
        <v>0</v>
      </c>
      <c r="I306" s="59"/>
      <c r="J306" s="59"/>
      <c r="K306" s="79">
        <f t="shared" si="139"/>
        <v>0</v>
      </c>
      <c r="L306" s="23"/>
      <c r="M306" s="49"/>
      <c r="N306" s="13"/>
      <c r="O306" s="85"/>
      <c r="P306" s="14"/>
      <c r="Q306" s="17">
        <f t="shared" si="133"/>
        <v>0</v>
      </c>
      <c r="R306" s="59"/>
      <c r="S306" s="31">
        <f t="shared" ref="S306:S369" si="143">(N306-M306)</f>
        <v>0</v>
      </c>
    </row>
    <row r="307" spans="1:20" ht="35.25" customHeight="1" thickBot="1" x14ac:dyDescent="0.3">
      <c r="A307" s="69" t="s">
        <v>135</v>
      </c>
      <c r="B307" s="11">
        <v>160</v>
      </c>
      <c r="C307" s="11" t="s">
        <v>136</v>
      </c>
      <c r="D307" s="41">
        <v>160</v>
      </c>
      <c r="E307" s="11">
        <v>160</v>
      </c>
      <c r="F307" s="85"/>
      <c r="G307" s="20"/>
      <c r="H307" s="17">
        <f t="shared" si="138"/>
        <v>0</v>
      </c>
      <c r="I307" s="59"/>
      <c r="J307" s="59"/>
      <c r="K307" s="79">
        <f t="shared" si="139"/>
        <v>0</v>
      </c>
      <c r="L307" s="23">
        <v>20</v>
      </c>
      <c r="M307" s="49">
        <v>20</v>
      </c>
      <c r="N307" s="13">
        <v>20</v>
      </c>
      <c r="O307" s="85"/>
      <c r="P307" s="14"/>
      <c r="Q307" s="17">
        <f t="shared" si="133"/>
        <v>0</v>
      </c>
      <c r="R307" s="59"/>
      <c r="S307" s="31">
        <f t="shared" si="143"/>
        <v>0</v>
      </c>
    </row>
    <row r="308" spans="1:20" ht="35.25" customHeight="1" thickBot="1" x14ac:dyDescent="0.3">
      <c r="A308" s="69" t="s">
        <v>133</v>
      </c>
      <c r="B308" s="11">
        <v>60</v>
      </c>
      <c r="C308" s="11" t="s">
        <v>134</v>
      </c>
      <c r="D308" s="41">
        <v>60</v>
      </c>
      <c r="E308" s="11">
        <v>60</v>
      </c>
      <c r="F308" s="85"/>
      <c r="G308" s="20"/>
      <c r="H308" s="17">
        <f t="shared" si="138"/>
        <v>0</v>
      </c>
      <c r="I308" s="59"/>
      <c r="J308" s="59"/>
      <c r="K308" s="79">
        <f t="shared" si="139"/>
        <v>0</v>
      </c>
      <c r="L308" s="23">
        <v>30</v>
      </c>
      <c r="M308" s="49">
        <v>30</v>
      </c>
      <c r="N308" s="13">
        <v>30</v>
      </c>
      <c r="O308" s="85"/>
      <c r="P308" s="14"/>
      <c r="Q308" s="17">
        <f t="shared" si="133"/>
        <v>0</v>
      </c>
      <c r="R308" s="59"/>
      <c r="S308" s="31">
        <f t="shared" si="143"/>
        <v>0</v>
      </c>
    </row>
    <row r="309" spans="1:20" ht="35.25" customHeight="1" thickBot="1" x14ac:dyDescent="0.3">
      <c r="A309" s="69" t="s">
        <v>129</v>
      </c>
      <c r="B309" s="11">
        <v>72</v>
      </c>
      <c r="C309" s="11" t="s">
        <v>127</v>
      </c>
      <c r="D309" s="41">
        <v>72</v>
      </c>
      <c r="E309" s="11">
        <v>72</v>
      </c>
      <c r="F309" s="85"/>
      <c r="G309" s="20"/>
      <c r="H309" s="17">
        <f t="shared" si="138"/>
        <v>0</v>
      </c>
      <c r="I309" s="59"/>
      <c r="J309" s="59"/>
      <c r="K309" s="79">
        <f t="shared" si="139"/>
        <v>0</v>
      </c>
      <c r="L309" s="23">
        <v>12</v>
      </c>
      <c r="M309" s="49">
        <v>12</v>
      </c>
      <c r="N309" s="13">
        <v>12</v>
      </c>
      <c r="O309" s="85"/>
      <c r="P309" s="14"/>
      <c r="Q309" s="17">
        <f t="shared" ref="Q309:Q372" si="144">L309-N309</f>
        <v>0</v>
      </c>
      <c r="R309" s="59"/>
      <c r="S309" s="31">
        <f t="shared" si="143"/>
        <v>0</v>
      </c>
    </row>
    <row r="310" spans="1:20" ht="35.25" customHeight="1" thickBot="1" x14ac:dyDescent="0.3">
      <c r="A310" s="69" t="s">
        <v>126</v>
      </c>
      <c r="B310" s="11">
        <v>200</v>
      </c>
      <c r="C310" s="11" t="s">
        <v>127</v>
      </c>
      <c r="D310" s="41">
        <v>200</v>
      </c>
      <c r="E310" s="11">
        <v>200</v>
      </c>
      <c r="F310" s="85"/>
      <c r="G310" s="20"/>
      <c r="H310" s="17">
        <f t="shared" si="138"/>
        <v>0</v>
      </c>
      <c r="I310" s="59"/>
      <c r="J310" s="59"/>
      <c r="K310" s="79">
        <f t="shared" si="139"/>
        <v>0</v>
      </c>
      <c r="L310" s="23">
        <v>150</v>
      </c>
      <c r="M310" s="49">
        <v>150</v>
      </c>
      <c r="N310" s="13">
        <v>150</v>
      </c>
      <c r="O310" s="85"/>
      <c r="P310" s="14"/>
      <c r="Q310" s="17">
        <f t="shared" si="144"/>
        <v>0</v>
      </c>
      <c r="R310" s="59"/>
      <c r="S310" s="31">
        <f t="shared" si="143"/>
        <v>0</v>
      </c>
    </row>
    <row r="311" spans="1:20" ht="35.25" customHeight="1" thickBot="1" x14ac:dyDescent="0.3">
      <c r="A311" s="69" t="s">
        <v>124</v>
      </c>
      <c r="B311" s="11">
        <v>250</v>
      </c>
      <c r="C311" s="11" t="s">
        <v>123</v>
      </c>
      <c r="D311" s="41">
        <v>250</v>
      </c>
      <c r="E311" s="11">
        <v>250</v>
      </c>
      <c r="F311" s="85"/>
      <c r="G311" s="12"/>
      <c r="H311" s="29">
        <f t="shared" si="138"/>
        <v>0</v>
      </c>
      <c r="I311" s="57"/>
      <c r="J311" s="57"/>
      <c r="K311" s="79">
        <f t="shared" si="139"/>
        <v>0</v>
      </c>
      <c r="L311" s="11"/>
      <c r="M311" s="49"/>
      <c r="N311" s="13"/>
      <c r="O311" s="85"/>
      <c r="P311" s="14"/>
      <c r="Q311" s="17">
        <f t="shared" si="144"/>
        <v>0</v>
      </c>
      <c r="R311" s="59"/>
      <c r="S311" s="31">
        <f t="shared" si="143"/>
        <v>0</v>
      </c>
    </row>
    <row r="312" spans="1:20" ht="35.25" customHeight="1" thickBot="1" x14ac:dyDescent="0.3">
      <c r="A312" s="69" t="s">
        <v>122</v>
      </c>
      <c r="B312" s="11">
        <v>70</v>
      </c>
      <c r="C312" s="11" t="s">
        <v>123</v>
      </c>
      <c r="D312" s="41">
        <v>70</v>
      </c>
      <c r="E312" s="11">
        <v>70</v>
      </c>
      <c r="F312" s="85"/>
      <c r="G312" s="12"/>
      <c r="H312" s="29">
        <f t="shared" si="138"/>
        <v>0</v>
      </c>
      <c r="I312" s="57"/>
      <c r="J312" s="57"/>
      <c r="K312" s="79">
        <f t="shared" si="139"/>
        <v>0</v>
      </c>
      <c r="L312" s="11"/>
      <c r="M312" s="49"/>
      <c r="N312" s="13"/>
      <c r="O312" s="85"/>
      <c r="P312" s="14"/>
      <c r="Q312" s="17">
        <f t="shared" si="144"/>
        <v>0</v>
      </c>
      <c r="R312" s="59"/>
      <c r="S312" s="31">
        <f t="shared" si="143"/>
        <v>0</v>
      </c>
    </row>
    <row r="313" spans="1:20" ht="35.25" customHeight="1" thickBot="1" x14ac:dyDescent="0.3">
      <c r="A313" s="69" t="s">
        <v>125</v>
      </c>
      <c r="B313" s="11">
        <v>60</v>
      </c>
      <c r="C313" s="11" t="s">
        <v>123</v>
      </c>
      <c r="D313" s="41">
        <v>60</v>
      </c>
      <c r="E313" s="11">
        <v>60</v>
      </c>
      <c r="F313" s="85"/>
      <c r="G313" s="20"/>
      <c r="H313" s="17">
        <f t="shared" si="138"/>
        <v>0</v>
      </c>
      <c r="I313" s="59"/>
      <c r="J313" s="59"/>
      <c r="K313" s="79">
        <f t="shared" si="139"/>
        <v>0</v>
      </c>
      <c r="L313" s="23">
        <v>30</v>
      </c>
      <c r="M313" s="50">
        <v>30</v>
      </c>
      <c r="N313" s="13">
        <v>30</v>
      </c>
      <c r="O313" s="85"/>
      <c r="P313" s="14"/>
      <c r="Q313" s="17">
        <f t="shared" si="144"/>
        <v>0</v>
      </c>
      <c r="R313" s="59"/>
      <c r="S313" s="31">
        <f t="shared" si="143"/>
        <v>0</v>
      </c>
    </row>
    <row r="314" spans="1:20" ht="35.25" customHeight="1" thickBot="1" x14ac:dyDescent="0.3">
      <c r="A314" s="69" t="s">
        <v>128</v>
      </c>
      <c r="B314" s="11">
        <v>96</v>
      </c>
      <c r="C314" s="11" t="s">
        <v>127</v>
      </c>
      <c r="D314" s="41">
        <v>96</v>
      </c>
      <c r="E314" s="11">
        <v>96</v>
      </c>
      <c r="F314" s="85"/>
      <c r="G314" s="20"/>
      <c r="H314" s="17">
        <f t="shared" si="138"/>
        <v>0</v>
      </c>
      <c r="I314" s="59"/>
      <c r="J314" s="59"/>
      <c r="K314" s="79">
        <f t="shared" si="139"/>
        <v>0</v>
      </c>
      <c r="L314" s="23"/>
      <c r="M314" s="50"/>
      <c r="N314" s="13"/>
      <c r="O314" s="85"/>
      <c r="P314" s="14"/>
      <c r="Q314" s="17">
        <f t="shared" si="144"/>
        <v>0</v>
      </c>
      <c r="R314" s="59"/>
      <c r="S314" s="31">
        <f t="shared" si="143"/>
        <v>0</v>
      </c>
    </row>
    <row r="315" spans="1:20" ht="35.25" customHeight="1" thickBot="1" x14ac:dyDescent="0.3">
      <c r="A315" s="69" t="s">
        <v>132</v>
      </c>
      <c r="B315" s="11">
        <v>0</v>
      </c>
      <c r="C315" s="11" t="s">
        <v>131</v>
      </c>
      <c r="D315" s="41"/>
      <c r="E315" s="11"/>
      <c r="F315" s="85"/>
      <c r="G315" s="20"/>
      <c r="H315" s="17">
        <f t="shared" si="138"/>
        <v>0</v>
      </c>
      <c r="I315" s="59"/>
      <c r="J315" s="59"/>
      <c r="K315" s="79">
        <f t="shared" si="139"/>
        <v>0</v>
      </c>
      <c r="L315" s="23">
        <v>12</v>
      </c>
      <c r="M315" s="51">
        <v>12</v>
      </c>
      <c r="N315" s="23">
        <v>12</v>
      </c>
      <c r="O315" s="85"/>
      <c r="P315" s="14"/>
      <c r="Q315" s="17">
        <f t="shared" si="144"/>
        <v>0</v>
      </c>
      <c r="R315" s="59"/>
      <c r="S315" s="31">
        <f t="shared" si="143"/>
        <v>0</v>
      </c>
    </row>
    <row r="316" spans="1:20" ht="35.25" customHeight="1" thickBot="1" x14ac:dyDescent="0.3">
      <c r="A316" s="69" t="s">
        <v>130</v>
      </c>
      <c r="B316" s="11">
        <v>200</v>
      </c>
      <c r="C316" s="11" t="s">
        <v>131</v>
      </c>
      <c r="D316" s="41">
        <v>200</v>
      </c>
      <c r="E316" s="11">
        <v>200</v>
      </c>
      <c r="F316" s="85" t="s">
        <v>61</v>
      </c>
      <c r="G316" s="20"/>
      <c r="H316" s="17">
        <f t="shared" si="138"/>
        <v>0</v>
      </c>
      <c r="I316" s="59"/>
      <c r="J316" s="59"/>
      <c r="K316" s="79">
        <f t="shared" si="139"/>
        <v>0</v>
      </c>
      <c r="L316" s="23"/>
      <c r="M316" s="51"/>
      <c r="N316" s="23"/>
      <c r="O316" s="85"/>
      <c r="P316" s="14"/>
      <c r="Q316" s="17">
        <f t="shared" si="144"/>
        <v>0</v>
      </c>
      <c r="R316" s="59"/>
      <c r="S316" s="31">
        <f t="shared" si="143"/>
        <v>0</v>
      </c>
    </row>
    <row r="317" spans="1:20" ht="35.25" customHeight="1" thickBot="1" x14ac:dyDescent="0.3">
      <c r="A317" s="69" t="s">
        <v>120</v>
      </c>
      <c r="B317" s="11">
        <v>75</v>
      </c>
      <c r="C317" s="11" t="s">
        <v>121</v>
      </c>
      <c r="D317" s="41">
        <v>75</v>
      </c>
      <c r="E317" s="11">
        <v>75</v>
      </c>
      <c r="F317" s="85"/>
      <c r="G317" s="12"/>
      <c r="H317" s="29">
        <f t="shared" si="138"/>
        <v>0</v>
      </c>
      <c r="I317" s="57"/>
      <c r="J317" s="57"/>
      <c r="K317" s="79">
        <f t="shared" si="139"/>
        <v>0</v>
      </c>
      <c r="L317" s="11">
        <v>23</v>
      </c>
      <c r="M317" s="51">
        <v>23</v>
      </c>
      <c r="N317" s="11">
        <v>23</v>
      </c>
      <c r="O317" s="85"/>
      <c r="P317" s="14"/>
      <c r="Q317" s="17">
        <f t="shared" si="144"/>
        <v>0</v>
      </c>
      <c r="R317" s="59"/>
      <c r="S317" s="31">
        <f t="shared" si="143"/>
        <v>0</v>
      </c>
    </row>
    <row r="318" spans="1:20" ht="35.25" customHeight="1" thickBot="1" x14ac:dyDescent="0.3">
      <c r="A318" s="69" t="s">
        <v>58</v>
      </c>
      <c r="B318" s="11">
        <v>20</v>
      </c>
      <c r="C318" s="11"/>
      <c r="D318" s="41">
        <v>20</v>
      </c>
      <c r="E318" s="11">
        <v>20</v>
      </c>
      <c r="F318" s="85"/>
      <c r="G318" s="12"/>
      <c r="H318" s="29">
        <f t="shared" si="138"/>
        <v>0</v>
      </c>
      <c r="I318" s="57"/>
      <c r="J318" s="57"/>
      <c r="K318" s="79">
        <f t="shared" si="139"/>
        <v>0</v>
      </c>
      <c r="L318" s="11"/>
      <c r="M318" s="51"/>
      <c r="N318" s="11"/>
      <c r="O318" s="85"/>
      <c r="P318" s="14"/>
      <c r="Q318" s="17">
        <f t="shared" si="144"/>
        <v>0</v>
      </c>
      <c r="R318" s="59"/>
      <c r="S318" s="31">
        <f t="shared" si="143"/>
        <v>0</v>
      </c>
    </row>
    <row r="319" spans="1:20" ht="35.25" customHeight="1" thickBot="1" x14ac:dyDescent="0.3">
      <c r="A319" s="71" t="s">
        <v>60</v>
      </c>
      <c r="B319" s="23">
        <v>1264</v>
      </c>
      <c r="C319" s="11" t="s">
        <v>67</v>
      </c>
      <c r="D319" s="41">
        <v>1264</v>
      </c>
      <c r="E319" s="11">
        <v>1264</v>
      </c>
      <c r="F319" s="85"/>
      <c r="G319" s="12"/>
      <c r="H319" s="29">
        <f t="shared" si="138"/>
        <v>0</v>
      </c>
      <c r="I319" s="57"/>
      <c r="J319" s="57"/>
      <c r="K319" s="79">
        <f t="shared" si="139"/>
        <v>0</v>
      </c>
      <c r="L319" s="11">
        <v>0</v>
      </c>
      <c r="M319" s="51">
        <v>0</v>
      </c>
      <c r="N319" s="11">
        <v>0</v>
      </c>
      <c r="O319" s="85"/>
      <c r="P319" s="14"/>
      <c r="Q319" s="17">
        <f t="shared" si="144"/>
        <v>0</v>
      </c>
      <c r="R319" s="59"/>
      <c r="S319" s="31">
        <f t="shared" si="143"/>
        <v>0</v>
      </c>
      <c r="T319" s="30"/>
    </row>
    <row r="320" spans="1:20" ht="35.25" customHeight="1" thickBot="1" x14ac:dyDescent="0.3">
      <c r="A320" s="69" t="s">
        <v>115</v>
      </c>
      <c r="B320" s="11">
        <v>121</v>
      </c>
      <c r="C320" s="11" t="s">
        <v>116</v>
      </c>
      <c r="D320" s="41">
        <v>121</v>
      </c>
      <c r="E320" s="11">
        <v>121</v>
      </c>
      <c r="F320" s="85"/>
      <c r="G320" s="12"/>
      <c r="H320" s="29">
        <f t="shared" si="138"/>
        <v>0</v>
      </c>
      <c r="I320" s="57"/>
      <c r="J320" s="57"/>
      <c r="K320" s="79">
        <f t="shared" si="139"/>
        <v>0</v>
      </c>
      <c r="L320" s="11">
        <v>24</v>
      </c>
      <c r="M320" s="51">
        <v>24</v>
      </c>
      <c r="N320" s="11">
        <v>24</v>
      </c>
      <c r="O320" s="85"/>
      <c r="P320" s="14"/>
      <c r="Q320" s="17">
        <f t="shared" si="144"/>
        <v>0</v>
      </c>
      <c r="R320" s="59"/>
      <c r="S320" s="31">
        <f t="shared" si="143"/>
        <v>0</v>
      </c>
    </row>
    <row r="321" spans="1:20" ht="35.25" customHeight="1" thickBot="1" x14ac:dyDescent="0.3">
      <c r="A321" s="69" t="s">
        <v>112</v>
      </c>
      <c r="B321" s="11">
        <v>150</v>
      </c>
      <c r="C321" s="11" t="s">
        <v>113</v>
      </c>
      <c r="D321" s="41">
        <v>150</v>
      </c>
      <c r="E321" s="11">
        <v>150</v>
      </c>
      <c r="F321" s="85"/>
      <c r="G321" s="12"/>
      <c r="H321" s="29">
        <f t="shared" si="138"/>
        <v>0</v>
      </c>
      <c r="I321" s="57"/>
      <c r="J321" s="57"/>
      <c r="K321" s="79">
        <f t="shared" si="139"/>
        <v>0</v>
      </c>
      <c r="L321" s="11">
        <v>62</v>
      </c>
      <c r="M321" s="51">
        <v>62</v>
      </c>
      <c r="N321" s="11">
        <v>62</v>
      </c>
      <c r="O321" s="85"/>
      <c r="P321" s="14"/>
      <c r="Q321" s="17">
        <f t="shared" si="144"/>
        <v>0</v>
      </c>
      <c r="R321" s="59"/>
      <c r="S321" s="31">
        <f t="shared" si="143"/>
        <v>0</v>
      </c>
      <c r="T321" s="30"/>
    </row>
    <row r="322" spans="1:20" ht="35.25" customHeight="1" thickBot="1" x14ac:dyDescent="0.3">
      <c r="A322" s="69" t="s">
        <v>119</v>
      </c>
      <c r="B322" s="11"/>
      <c r="C322" s="11"/>
      <c r="D322" s="41"/>
      <c r="E322" s="11"/>
      <c r="F322" s="85"/>
      <c r="G322" s="12"/>
      <c r="H322" s="29">
        <f t="shared" si="138"/>
        <v>0</v>
      </c>
      <c r="I322" s="57"/>
      <c r="J322" s="57"/>
      <c r="K322" s="79">
        <f t="shared" si="139"/>
        <v>0</v>
      </c>
      <c r="L322" s="11">
        <v>21</v>
      </c>
      <c r="M322" s="51">
        <v>21</v>
      </c>
      <c r="N322" s="11">
        <v>21</v>
      </c>
      <c r="O322" s="85"/>
      <c r="P322" s="14">
        <v>21</v>
      </c>
      <c r="Q322" s="17">
        <f t="shared" si="144"/>
        <v>0</v>
      </c>
      <c r="R322" s="59"/>
      <c r="S322" s="31">
        <f t="shared" si="143"/>
        <v>0</v>
      </c>
    </row>
    <row r="323" spans="1:20" ht="35.25" customHeight="1" thickBot="1" x14ac:dyDescent="0.3">
      <c r="A323" s="69" t="s">
        <v>117</v>
      </c>
      <c r="B323" s="11">
        <v>600</v>
      </c>
      <c r="C323" s="11" t="s">
        <v>118</v>
      </c>
      <c r="D323" s="41">
        <v>600</v>
      </c>
      <c r="E323" s="11">
        <v>600</v>
      </c>
      <c r="F323" s="85"/>
      <c r="G323" s="12">
        <v>600</v>
      </c>
      <c r="H323" s="29">
        <f t="shared" si="138"/>
        <v>0</v>
      </c>
      <c r="I323" s="57"/>
      <c r="J323" s="57"/>
      <c r="K323" s="79">
        <f t="shared" si="139"/>
        <v>0</v>
      </c>
      <c r="L323" s="11"/>
      <c r="M323" s="51"/>
      <c r="N323" s="11"/>
      <c r="O323" s="85"/>
      <c r="P323" s="14"/>
      <c r="Q323" s="17">
        <f t="shared" si="144"/>
        <v>0</v>
      </c>
      <c r="R323" s="59"/>
      <c r="S323" s="31">
        <f t="shared" si="143"/>
        <v>0</v>
      </c>
      <c r="T323" s="30"/>
    </row>
    <row r="324" spans="1:20" ht="35.25" customHeight="1" thickBot="1" x14ac:dyDescent="0.3">
      <c r="A324" s="69" t="s">
        <v>110</v>
      </c>
      <c r="B324" s="11">
        <v>800</v>
      </c>
      <c r="C324" s="11" t="s">
        <v>111</v>
      </c>
      <c r="D324" s="41">
        <v>800</v>
      </c>
      <c r="E324" s="11">
        <v>800</v>
      </c>
      <c r="F324" s="85"/>
      <c r="G324" s="12"/>
      <c r="H324" s="29">
        <f t="shared" si="138"/>
        <v>0</v>
      </c>
      <c r="I324" s="57"/>
      <c r="J324" s="57"/>
      <c r="K324" s="79">
        <f t="shared" si="139"/>
        <v>0</v>
      </c>
      <c r="L324" s="11">
        <v>70</v>
      </c>
      <c r="M324" s="51">
        <v>70</v>
      </c>
      <c r="N324" s="11">
        <v>70</v>
      </c>
      <c r="O324" s="85"/>
      <c r="P324" s="14"/>
      <c r="Q324" s="17">
        <f t="shared" si="144"/>
        <v>0</v>
      </c>
      <c r="R324" s="59"/>
      <c r="S324" s="31">
        <f t="shared" si="143"/>
        <v>0</v>
      </c>
      <c r="T324" s="30"/>
    </row>
    <row r="325" spans="1:20" ht="34.5" customHeight="1" thickBot="1" x14ac:dyDescent="0.3">
      <c r="A325" s="69" t="s">
        <v>107</v>
      </c>
      <c r="B325" s="11">
        <v>90</v>
      </c>
      <c r="C325" s="11" t="s">
        <v>108</v>
      </c>
      <c r="D325" s="41">
        <v>90</v>
      </c>
      <c r="E325" s="11">
        <v>90</v>
      </c>
      <c r="F325" s="85"/>
      <c r="G325" s="12"/>
      <c r="H325" s="29">
        <f t="shared" si="138"/>
        <v>0</v>
      </c>
      <c r="I325" s="57"/>
      <c r="J325" s="57"/>
      <c r="K325" s="79">
        <f t="shared" si="139"/>
        <v>0</v>
      </c>
      <c r="L325" s="11">
        <v>15</v>
      </c>
      <c r="M325" s="51">
        <v>15</v>
      </c>
      <c r="N325" s="11">
        <v>15</v>
      </c>
      <c r="O325" s="85"/>
      <c r="P325" s="14"/>
      <c r="Q325" s="17">
        <f t="shared" si="144"/>
        <v>0</v>
      </c>
      <c r="R325" s="59"/>
      <c r="S325" s="31">
        <f t="shared" si="143"/>
        <v>0</v>
      </c>
      <c r="T325" s="30"/>
    </row>
    <row r="326" spans="1:20" ht="35.25" customHeight="1" thickBot="1" x14ac:dyDescent="0.3">
      <c r="A326" s="69" t="s">
        <v>106</v>
      </c>
      <c r="B326" s="11"/>
      <c r="C326" s="11"/>
      <c r="D326" s="41"/>
      <c r="E326" s="11"/>
      <c r="F326" s="85"/>
      <c r="G326" s="12"/>
      <c r="H326" s="29">
        <f t="shared" si="138"/>
        <v>0</v>
      </c>
      <c r="I326" s="57"/>
      <c r="J326" s="57"/>
      <c r="K326" s="79">
        <f t="shared" si="139"/>
        <v>0</v>
      </c>
      <c r="L326" s="11">
        <v>80</v>
      </c>
      <c r="M326" s="51">
        <v>80</v>
      </c>
      <c r="N326" s="11">
        <v>80</v>
      </c>
      <c r="O326" s="85"/>
      <c r="P326" s="14"/>
      <c r="Q326" s="17">
        <f t="shared" si="144"/>
        <v>0</v>
      </c>
      <c r="R326" s="59"/>
      <c r="S326" s="31">
        <f t="shared" si="143"/>
        <v>0</v>
      </c>
      <c r="T326" s="30"/>
    </row>
    <row r="327" spans="1:20" ht="35.25" customHeight="1" thickBot="1" x14ac:dyDescent="0.3">
      <c r="A327" s="69" t="s">
        <v>51</v>
      </c>
      <c r="B327" s="11">
        <v>200</v>
      </c>
      <c r="C327" s="11" t="s">
        <v>100</v>
      </c>
      <c r="D327" s="41">
        <v>200</v>
      </c>
      <c r="E327" s="11">
        <v>200</v>
      </c>
      <c r="F327" s="85"/>
      <c r="G327" s="12"/>
      <c r="H327" s="29">
        <f t="shared" si="138"/>
        <v>0</v>
      </c>
      <c r="I327" s="57"/>
      <c r="J327" s="57"/>
      <c r="K327" s="79">
        <f t="shared" si="139"/>
        <v>0</v>
      </c>
      <c r="L327" s="11"/>
      <c r="M327" s="51"/>
      <c r="N327" s="11"/>
      <c r="O327" s="85"/>
      <c r="P327" s="14"/>
      <c r="Q327" s="17">
        <f t="shared" si="144"/>
        <v>0</v>
      </c>
      <c r="R327" s="59"/>
      <c r="S327" s="31">
        <f t="shared" si="143"/>
        <v>0</v>
      </c>
      <c r="T327" s="30"/>
    </row>
    <row r="328" spans="1:20" ht="35.25" customHeight="1" thickBot="1" x14ac:dyDescent="0.3">
      <c r="A328" s="72" t="s">
        <v>60</v>
      </c>
      <c r="B328" s="23">
        <v>1000</v>
      </c>
      <c r="C328" s="11" t="s">
        <v>67</v>
      </c>
      <c r="D328" s="41">
        <v>1000</v>
      </c>
      <c r="E328" s="11">
        <v>1000</v>
      </c>
      <c r="F328" s="85" t="s">
        <v>61</v>
      </c>
      <c r="G328" s="12">
        <v>11</v>
      </c>
      <c r="H328" s="29">
        <f t="shared" ref="H328:H391" si="145">B328-E328</f>
        <v>0</v>
      </c>
      <c r="I328" s="57"/>
      <c r="J328" s="57"/>
      <c r="K328" s="79">
        <f t="shared" ref="K328:K391" si="146">(E328-D328)</f>
        <v>0</v>
      </c>
      <c r="L328" s="11">
        <v>44</v>
      </c>
      <c r="M328" s="51">
        <v>44</v>
      </c>
      <c r="N328" s="11">
        <v>44</v>
      </c>
      <c r="O328" s="85"/>
      <c r="P328" s="14"/>
      <c r="Q328" s="17">
        <f t="shared" si="144"/>
        <v>0</v>
      </c>
      <c r="R328" s="59"/>
      <c r="S328" s="31">
        <f t="shared" si="143"/>
        <v>0</v>
      </c>
      <c r="T328" s="30"/>
    </row>
    <row r="329" spans="1:20" ht="35.25" customHeight="1" thickBot="1" x14ac:dyDescent="0.3">
      <c r="A329" s="69" t="s">
        <v>52</v>
      </c>
      <c r="B329" s="11">
        <v>210</v>
      </c>
      <c r="C329" s="11" t="s">
        <v>114</v>
      </c>
      <c r="D329" s="41">
        <v>210</v>
      </c>
      <c r="E329" s="11">
        <v>210</v>
      </c>
      <c r="F329" s="85"/>
      <c r="G329" s="12"/>
      <c r="H329" s="29">
        <f t="shared" si="145"/>
        <v>0</v>
      </c>
      <c r="I329" s="57"/>
      <c r="J329" s="57"/>
      <c r="K329" s="79">
        <f t="shared" si="146"/>
        <v>0</v>
      </c>
      <c r="L329" s="11">
        <v>2</v>
      </c>
      <c r="M329" s="50">
        <v>2</v>
      </c>
      <c r="N329" s="13">
        <v>2</v>
      </c>
      <c r="O329" s="85" t="s">
        <v>28</v>
      </c>
      <c r="P329" s="14"/>
      <c r="Q329" s="17">
        <f t="shared" si="144"/>
        <v>0</v>
      </c>
      <c r="R329" s="59"/>
      <c r="S329" s="31">
        <f t="shared" si="143"/>
        <v>0</v>
      </c>
      <c r="T329" s="30"/>
    </row>
    <row r="330" spans="1:20" ht="35.25" customHeight="1" thickBot="1" x14ac:dyDescent="0.3">
      <c r="A330" s="69" t="s">
        <v>97</v>
      </c>
      <c r="B330" s="11">
        <v>100</v>
      </c>
      <c r="C330" s="11" t="s">
        <v>102</v>
      </c>
      <c r="D330" s="41">
        <v>100</v>
      </c>
      <c r="E330" s="11">
        <v>100</v>
      </c>
      <c r="F330" s="85" t="s">
        <v>61</v>
      </c>
      <c r="G330" s="12"/>
      <c r="H330" s="29">
        <f t="shared" si="145"/>
        <v>0</v>
      </c>
      <c r="I330" s="57"/>
      <c r="J330" s="57"/>
      <c r="K330" s="79">
        <f t="shared" si="146"/>
        <v>0</v>
      </c>
      <c r="L330" s="11"/>
      <c r="M330" s="49"/>
      <c r="N330" s="13"/>
      <c r="O330" s="85"/>
      <c r="P330" s="14"/>
      <c r="Q330" s="17">
        <f t="shared" si="144"/>
        <v>0</v>
      </c>
      <c r="R330" s="59"/>
      <c r="S330" s="31">
        <f t="shared" si="143"/>
        <v>0</v>
      </c>
      <c r="T330" s="30"/>
    </row>
    <row r="331" spans="1:20" ht="36" customHeight="1" thickBot="1" x14ac:dyDescent="0.3">
      <c r="A331" s="69" t="s">
        <v>97</v>
      </c>
      <c r="B331" s="11">
        <v>250</v>
      </c>
      <c r="C331" s="11" t="s">
        <v>102</v>
      </c>
      <c r="D331" s="41">
        <v>250</v>
      </c>
      <c r="E331" s="11">
        <v>250</v>
      </c>
      <c r="F331" s="85"/>
      <c r="G331" s="12"/>
      <c r="H331" s="29">
        <f t="shared" si="145"/>
        <v>0</v>
      </c>
      <c r="I331" s="57"/>
      <c r="J331" s="57"/>
      <c r="K331" s="79">
        <f t="shared" si="146"/>
        <v>0</v>
      </c>
      <c r="L331" s="11">
        <v>50</v>
      </c>
      <c r="M331" s="49">
        <v>50</v>
      </c>
      <c r="N331" s="13">
        <v>50</v>
      </c>
      <c r="O331" s="85"/>
      <c r="P331" s="14"/>
      <c r="Q331" s="17">
        <f t="shared" si="144"/>
        <v>0</v>
      </c>
      <c r="R331" s="59"/>
      <c r="S331" s="31">
        <f t="shared" si="143"/>
        <v>0</v>
      </c>
      <c r="T331" s="30"/>
    </row>
    <row r="332" spans="1:20" ht="35.25" customHeight="1" thickBot="1" x14ac:dyDescent="0.3">
      <c r="A332" s="69" t="s">
        <v>109</v>
      </c>
      <c r="B332" s="11">
        <v>7</v>
      </c>
      <c r="C332" s="11" t="s">
        <v>111</v>
      </c>
      <c r="D332" s="41">
        <v>14</v>
      </c>
      <c r="E332" s="11">
        <v>14</v>
      </c>
      <c r="F332" s="85"/>
      <c r="G332" s="12"/>
      <c r="H332" s="29">
        <f t="shared" si="145"/>
        <v>-7</v>
      </c>
      <c r="I332" s="57"/>
      <c r="J332" s="57"/>
      <c r="K332" s="79">
        <f t="shared" si="146"/>
        <v>0</v>
      </c>
      <c r="L332" s="11">
        <v>1</v>
      </c>
      <c r="M332" s="49">
        <v>2</v>
      </c>
      <c r="N332" s="13">
        <v>2</v>
      </c>
      <c r="O332" s="85"/>
      <c r="P332" s="14"/>
      <c r="Q332" s="17">
        <f t="shared" si="144"/>
        <v>-1</v>
      </c>
      <c r="R332" s="59"/>
      <c r="S332" s="31">
        <f t="shared" si="143"/>
        <v>0</v>
      </c>
      <c r="T332" s="30"/>
    </row>
    <row r="333" spans="1:20" ht="35.25" customHeight="1" thickBot="1" x14ac:dyDescent="0.3">
      <c r="A333" s="69" t="s">
        <v>104</v>
      </c>
      <c r="B333" s="11">
        <v>25</v>
      </c>
      <c r="C333" s="11" t="s">
        <v>105</v>
      </c>
      <c r="D333" s="41">
        <v>25</v>
      </c>
      <c r="E333" s="11">
        <v>25</v>
      </c>
      <c r="F333" s="85"/>
      <c r="G333" s="12"/>
      <c r="H333" s="29">
        <f t="shared" si="145"/>
        <v>0</v>
      </c>
      <c r="I333" s="57"/>
      <c r="J333" s="57"/>
      <c r="K333" s="79">
        <f t="shared" si="146"/>
        <v>0</v>
      </c>
      <c r="L333" s="11"/>
      <c r="M333" s="49"/>
      <c r="N333" s="13"/>
      <c r="O333" s="85"/>
      <c r="P333" s="14"/>
      <c r="Q333" s="17">
        <f t="shared" si="144"/>
        <v>0</v>
      </c>
      <c r="R333" s="59"/>
      <c r="S333" s="31">
        <f t="shared" si="143"/>
        <v>0</v>
      </c>
    </row>
    <row r="334" spans="1:20" ht="35.25" customHeight="1" thickBot="1" x14ac:dyDescent="0.3">
      <c r="A334" s="69" t="s">
        <v>101</v>
      </c>
      <c r="B334" s="11">
        <v>200</v>
      </c>
      <c r="C334" s="11" t="s">
        <v>100</v>
      </c>
      <c r="D334" s="41">
        <v>200</v>
      </c>
      <c r="E334" s="11">
        <v>200</v>
      </c>
      <c r="F334" s="85"/>
      <c r="G334" s="12"/>
      <c r="H334" s="29">
        <f t="shared" si="145"/>
        <v>0</v>
      </c>
      <c r="I334" s="57"/>
      <c r="J334" s="57"/>
      <c r="K334" s="79">
        <f t="shared" si="146"/>
        <v>0</v>
      </c>
      <c r="L334" s="11"/>
      <c r="M334" s="49"/>
      <c r="N334" s="13"/>
      <c r="O334" s="85"/>
      <c r="P334" s="14"/>
      <c r="Q334" s="17">
        <f t="shared" si="144"/>
        <v>0</v>
      </c>
      <c r="R334" s="59"/>
      <c r="S334" s="31">
        <f t="shared" si="143"/>
        <v>0</v>
      </c>
    </row>
    <row r="335" spans="1:20" ht="35.25" customHeight="1" thickBot="1" x14ac:dyDescent="0.3">
      <c r="A335" s="69" t="s">
        <v>95</v>
      </c>
      <c r="B335" s="11">
        <v>100</v>
      </c>
      <c r="C335" s="11" t="s">
        <v>96</v>
      </c>
      <c r="D335" s="41">
        <v>100</v>
      </c>
      <c r="E335" s="11">
        <v>100</v>
      </c>
      <c r="F335" s="85"/>
      <c r="G335" s="12"/>
      <c r="H335" s="29">
        <f t="shared" si="145"/>
        <v>0</v>
      </c>
      <c r="I335" s="57"/>
      <c r="J335" s="57"/>
      <c r="K335" s="79">
        <f t="shared" si="146"/>
        <v>0</v>
      </c>
      <c r="L335" s="11"/>
      <c r="M335" s="49"/>
      <c r="N335" s="13"/>
      <c r="O335" s="85"/>
      <c r="P335" s="14"/>
      <c r="Q335" s="17">
        <f t="shared" si="144"/>
        <v>0</v>
      </c>
      <c r="R335" s="59"/>
      <c r="S335" s="31">
        <f t="shared" si="143"/>
        <v>0</v>
      </c>
    </row>
    <row r="336" spans="1:20" ht="35.25" customHeight="1" thickBot="1" x14ac:dyDescent="0.3">
      <c r="A336" s="69" t="s">
        <v>94</v>
      </c>
      <c r="B336" s="11">
        <v>19</v>
      </c>
      <c r="C336" s="11" t="s">
        <v>103</v>
      </c>
      <c r="D336" s="41">
        <v>30</v>
      </c>
      <c r="E336" s="11">
        <v>30</v>
      </c>
      <c r="F336" s="85" t="s">
        <v>23</v>
      </c>
      <c r="G336" s="12"/>
      <c r="H336" s="29">
        <f t="shared" si="145"/>
        <v>-11</v>
      </c>
      <c r="I336" s="57"/>
      <c r="J336" s="57"/>
      <c r="K336" s="79">
        <f t="shared" si="146"/>
        <v>0</v>
      </c>
      <c r="L336" s="11"/>
      <c r="M336" s="49"/>
      <c r="N336" s="13"/>
      <c r="O336" s="85"/>
      <c r="P336" s="14"/>
      <c r="Q336" s="17">
        <f t="shared" si="144"/>
        <v>0</v>
      </c>
      <c r="R336" s="59"/>
      <c r="S336" s="31">
        <f t="shared" si="143"/>
        <v>0</v>
      </c>
    </row>
    <row r="337" spans="1:19" ht="35.25" customHeight="1" thickBot="1" x14ac:dyDescent="0.3">
      <c r="A337" s="69" t="s">
        <v>94</v>
      </c>
      <c r="B337" s="11">
        <v>60</v>
      </c>
      <c r="C337" s="11" t="s">
        <v>103</v>
      </c>
      <c r="D337" s="41">
        <v>60</v>
      </c>
      <c r="E337" s="11">
        <v>60</v>
      </c>
      <c r="F337" s="85" t="s">
        <v>24</v>
      </c>
      <c r="G337" s="12"/>
      <c r="H337" s="29">
        <f t="shared" si="145"/>
        <v>0</v>
      </c>
      <c r="I337" s="57"/>
      <c r="J337" s="57"/>
      <c r="K337" s="79">
        <f t="shared" si="146"/>
        <v>0</v>
      </c>
      <c r="L337" s="11"/>
      <c r="M337" s="49"/>
      <c r="N337" s="13"/>
      <c r="O337" s="85"/>
      <c r="P337" s="14"/>
      <c r="Q337" s="17">
        <f t="shared" si="144"/>
        <v>0</v>
      </c>
      <c r="R337" s="59"/>
      <c r="S337" s="31">
        <f t="shared" si="143"/>
        <v>0</v>
      </c>
    </row>
    <row r="338" spans="1:19" ht="35.25" customHeight="1" thickBot="1" x14ac:dyDescent="0.3">
      <c r="A338" s="69" t="s">
        <v>33</v>
      </c>
      <c r="B338" s="11">
        <v>950</v>
      </c>
      <c r="C338" s="11" t="s">
        <v>66</v>
      </c>
      <c r="D338" s="41">
        <v>950</v>
      </c>
      <c r="E338" s="11">
        <v>950</v>
      </c>
      <c r="F338" s="85"/>
      <c r="G338" s="12"/>
      <c r="H338" s="29">
        <f t="shared" si="145"/>
        <v>0</v>
      </c>
      <c r="I338" s="57"/>
      <c r="J338" s="57"/>
      <c r="K338" s="79">
        <f t="shared" si="146"/>
        <v>0</v>
      </c>
      <c r="L338" s="11">
        <v>60</v>
      </c>
      <c r="M338" s="49">
        <v>60</v>
      </c>
      <c r="N338" s="13">
        <v>60</v>
      </c>
      <c r="O338" s="85"/>
      <c r="P338" s="14"/>
      <c r="Q338" s="17">
        <f t="shared" si="144"/>
        <v>0</v>
      </c>
      <c r="R338" s="59"/>
      <c r="S338" s="31">
        <f t="shared" si="143"/>
        <v>0</v>
      </c>
    </row>
    <row r="339" spans="1:19" ht="35.25" customHeight="1" thickBot="1" x14ac:dyDescent="0.3">
      <c r="A339" s="69" t="s">
        <v>90</v>
      </c>
      <c r="B339" s="11"/>
      <c r="C339" s="11" t="s">
        <v>93</v>
      </c>
      <c r="D339" s="41"/>
      <c r="E339" s="11"/>
      <c r="F339" s="85"/>
      <c r="G339" s="12"/>
      <c r="H339" s="29">
        <f t="shared" si="145"/>
        <v>0</v>
      </c>
      <c r="I339" s="57"/>
      <c r="J339" s="57"/>
      <c r="K339" s="79">
        <f t="shared" si="146"/>
        <v>0</v>
      </c>
      <c r="L339" s="11">
        <v>100</v>
      </c>
      <c r="M339" s="49">
        <v>100</v>
      </c>
      <c r="N339" s="13">
        <v>100</v>
      </c>
      <c r="O339" s="85"/>
      <c r="P339" s="14"/>
      <c r="Q339" s="17">
        <f t="shared" si="144"/>
        <v>0</v>
      </c>
      <c r="R339" s="59"/>
      <c r="S339" s="31">
        <f t="shared" si="143"/>
        <v>0</v>
      </c>
    </row>
    <row r="340" spans="1:19" ht="35.25" customHeight="1" thickBot="1" x14ac:dyDescent="0.3">
      <c r="A340" s="69" t="s">
        <v>90</v>
      </c>
      <c r="B340" s="11"/>
      <c r="C340" s="11" t="s">
        <v>93</v>
      </c>
      <c r="D340" s="41"/>
      <c r="E340" s="11"/>
      <c r="F340" s="85"/>
      <c r="G340" s="12"/>
      <c r="H340" s="29">
        <f t="shared" si="145"/>
        <v>0</v>
      </c>
      <c r="I340" s="57"/>
      <c r="J340" s="57"/>
      <c r="K340" s="79">
        <f t="shared" si="146"/>
        <v>0</v>
      </c>
      <c r="L340" s="11">
        <v>10</v>
      </c>
      <c r="M340" s="49">
        <v>10</v>
      </c>
      <c r="N340" s="13">
        <v>10</v>
      </c>
      <c r="O340" s="85" t="s">
        <v>92</v>
      </c>
      <c r="P340" s="14"/>
      <c r="Q340" s="17">
        <f t="shared" si="144"/>
        <v>0</v>
      </c>
      <c r="R340" s="59"/>
      <c r="S340" s="31">
        <f t="shared" si="143"/>
        <v>0</v>
      </c>
    </row>
    <row r="341" spans="1:19" ht="35.25" customHeight="1" thickBot="1" x14ac:dyDescent="0.3">
      <c r="A341" s="69" t="s">
        <v>86</v>
      </c>
      <c r="B341" s="11">
        <v>100</v>
      </c>
      <c r="C341" s="11" t="s">
        <v>87</v>
      </c>
      <c r="D341" s="41">
        <v>100</v>
      </c>
      <c r="E341" s="11">
        <v>100</v>
      </c>
      <c r="F341" s="85"/>
      <c r="G341" s="12"/>
      <c r="H341" s="29">
        <f t="shared" si="145"/>
        <v>0</v>
      </c>
      <c r="I341" s="57"/>
      <c r="J341" s="57"/>
      <c r="K341" s="79">
        <f t="shared" si="146"/>
        <v>0</v>
      </c>
      <c r="L341" s="11">
        <v>50</v>
      </c>
      <c r="M341" s="49">
        <v>50</v>
      </c>
      <c r="N341" s="13">
        <v>50</v>
      </c>
      <c r="O341" s="85" t="s">
        <v>28</v>
      </c>
      <c r="P341" s="14"/>
      <c r="Q341" s="17">
        <f t="shared" si="144"/>
        <v>0</v>
      </c>
      <c r="R341" s="59"/>
      <c r="S341" s="31">
        <f t="shared" si="143"/>
        <v>0</v>
      </c>
    </row>
    <row r="342" spans="1:19" ht="35.25" customHeight="1" thickBot="1" x14ac:dyDescent="0.3">
      <c r="A342" s="73" t="s">
        <v>43</v>
      </c>
      <c r="B342" s="11">
        <v>315</v>
      </c>
      <c r="C342" s="11" t="s">
        <v>85</v>
      </c>
      <c r="D342" s="41">
        <v>315</v>
      </c>
      <c r="E342" s="11">
        <v>315</v>
      </c>
      <c r="F342" s="85"/>
      <c r="G342" s="12"/>
      <c r="H342" s="29">
        <f t="shared" si="145"/>
        <v>0</v>
      </c>
      <c r="I342" s="57"/>
      <c r="J342" s="57"/>
      <c r="K342" s="79">
        <f t="shared" si="146"/>
        <v>0</v>
      </c>
      <c r="L342" s="11"/>
      <c r="M342" s="49"/>
      <c r="N342" s="13"/>
      <c r="O342" s="85"/>
      <c r="P342" s="14"/>
      <c r="Q342" s="17">
        <f t="shared" si="144"/>
        <v>0</v>
      </c>
      <c r="R342" s="59"/>
      <c r="S342" s="31">
        <f t="shared" si="143"/>
        <v>0</v>
      </c>
    </row>
    <row r="343" spans="1:19" ht="35.25" customHeight="1" thickBot="1" x14ac:dyDescent="0.3">
      <c r="A343" s="73" t="s">
        <v>59</v>
      </c>
      <c r="B343" s="11">
        <v>200</v>
      </c>
      <c r="C343" s="11" t="s">
        <v>68</v>
      </c>
      <c r="D343" s="41">
        <v>200</v>
      </c>
      <c r="E343" s="11">
        <v>200</v>
      </c>
      <c r="F343" s="85"/>
      <c r="G343" s="12"/>
      <c r="H343" s="29">
        <f t="shared" si="145"/>
        <v>0</v>
      </c>
      <c r="I343" s="57"/>
      <c r="J343" s="57"/>
      <c r="K343" s="79">
        <f t="shared" si="146"/>
        <v>0</v>
      </c>
      <c r="L343" s="11">
        <v>0</v>
      </c>
      <c r="M343" s="52">
        <v>0</v>
      </c>
      <c r="N343" s="13"/>
      <c r="O343" s="85"/>
      <c r="P343" s="14"/>
      <c r="Q343" s="17">
        <f t="shared" si="144"/>
        <v>0</v>
      </c>
      <c r="R343" s="59"/>
      <c r="S343" s="31">
        <f t="shared" si="143"/>
        <v>0</v>
      </c>
    </row>
    <row r="344" spans="1:19" ht="35.25" customHeight="1" thickBot="1" x14ac:dyDescent="0.3">
      <c r="A344" s="69" t="s">
        <v>91</v>
      </c>
      <c r="B344" s="11">
        <v>6</v>
      </c>
      <c r="C344" s="11"/>
      <c r="D344" s="41">
        <v>6</v>
      </c>
      <c r="E344" s="11">
        <v>6</v>
      </c>
      <c r="F344" s="85"/>
      <c r="G344" s="12"/>
      <c r="H344" s="29">
        <f t="shared" si="145"/>
        <v>0</v>
      </c>
      <c r="I344" s="57"/>
      <c r="J344" s="57"/>
      <c r="K344" s="79">
        <f t="shared" si="146"/>
        <v>0</v>
      </c>
      <c r="L344" s="11">
        <v>1</v>
      </c>
      <c r="M344" s="52">
        <v>1</v>
      </c>
      <c r="N344" s="13">
        <v>1</v>
      </c>
      <c r="O344" s="85"/>
      <c r="P344" s="14"/>
      <c r="Q344" s="17">
        <f t="shared" si="144"/>
        <v>0</v>
      </c>
      <c r="R344" s="59"/>
      <c r="S344" s="31">
        <f t="shared" si="143"/>
        <v>0</v>
      </c>
    </row>
    <row r="345" spans="1:19" ht="35.25" customHeight="1" thickBot="1" x14ac:dyDescent="0.3">
      <c r="A345" s="69" t="s">
        <v>88</v>
      </c>
      <c r="B345" s="11">
        <v>200</v>
      </c>
      <c r="C345" s="11" t="s">
        <v>89</v>
      </c>
      <c r="D345" s="41">
        <v>200</v>
      </c>
      <c r="E345" s="11">
        <v>200</v>
      </c>
      <c r="F345" s="85"/>
      <c r="G345" s="12"/>
      <c r="H345" s="29">
        <f t="shared" si="145"/>
        <v>0</v>
      </c>
      <c r="I345" s="57"/>
      <c r="J345" s="57"/>
      <c r="K345" s="79">
        <f t="shared" si="146"/>
        <v>0</v>
      </c>
      <c r="L345" s="11"/>
      <c r="M345" s="52"/>
      <c r="N345" s="13"/>
      <c r="O345" s="85"/>
      <c r="P345" s="14"/>
      <c r="Q345" s="17">
        <f t="shared" si="144"/>
        <v>0</v>
      </c>
      <c r="R345" s="59"/>
      <c r="S345" s="31">
        <f t="shared" si="143"/>
        <v>0</v>
      </c>
    </row>
    <row r="346" spans="1:19" ht="35.25" customHeight="1" thickBot="1" x14ac:dyDescent="0.3">
      <c r="A346" s="74" t="s">
        <v>84</v>
      </c>
      <c r="B346" s="11">
        <v>110</v>
      </c>
      <c r="C346" s="11" t="s">
        <v>85</v>
      </c>
      <c r="D346" s="41">
        <v>110</v>
      </c>
      <c r="E346" s="11">
        <v>110</v>
      </c>
      <c r="F346" s="85"/>
      <c r="G346" s="12"/>
      <c r="H346" s="29">
        <f t="shared" si="145"/>
        <v>0</v>
      </c>
      <c r="I346" s="57"/>
      <c r="J346" s="57"/>
      <c r="K346" s="79">
        <f t="shared" si="146"/>
        <v>0</v>
      </c>
      <c r="L346" s="11">
        <v>55</v>
      </c>
      <c r="M346" s="52">
        <v>55</v>
      </c>
      <c r="N346" s="13">
        <v>55</v>
      </c>
      <c r="O346" s="85"/>
      <c r="P346" s="14"/>
      <c r="Q346" s="17">
        <f t="shared" si="144"/>
        <v>0</v>
      </c>
      <c r="R346" s="59"/>
      <c r="S346" s="31">
        <f t="shared" si="143"/>
        <v>0</v>
      </c>
    </row>
    <row r="347" spans="1:19" ht="35.25" customHeight="1" thickBot="1" x14ac:dyDescent="0.3">
      <c r="A347" s="72" t="s">
        <v>83</v>
      </c>
      <c r="B347" s="23">
        <v>50</v>
      </c>
      <c r="C347" s="11" t="s">
        <v>85</v>
      </c>
      <c r="D347" s="42">
        <v>50</v>
      </c>
      <c r="E347" s="11">
        <v>50</v>
      </c>
      <c r="F347" s="85" t="s">
        <v>61</v>
      </c>
      <c r="G347" s="12">
        <v>50</v>
      </c>
      <c r="H347" s="29">
        <f t="shared" si="145"/>
        <v>0</v>
      </c>
      <c r="I347" s="57"/>
      <c r="J347" s="57"/>
      <c r="K347" s="79">
        <f t="shared" si="146"/>
        <v>0</v>
      </c>
      <c r="L347" s="11"/>
      <c r="M347" s="52"/>
      <c r="N347" s="13"/>
      <c r="O347" s="85"/>
      <c r="P347" s="14"/>
      <c r="Q347" s="17">
        <f t="shared" si="144"/>
        <v>0</v>
      </c>
      <c r="R347" s="59"/>
      <c r="S347" s="31">
        <f t="shared" si="143"/>
        <v>0</v>
      </c>
    </row>
    <row r="348" spans="1:19" ht="35.25" customHeight="1" thickBot="1" x14ac:dyDescent="0.3">
      <c r="A348" s="71" t="s">
        <v>83</v>
      </c>
      <c r="B348" s="23">
        <v>150</v>
      </c>
      <c r="C348" s="11" t="s">
        <v>85</v>
      </c>
      <c r="D348" s="42">
        <v>150</v>
      </c>
      <c r="E348" s="11">
        <v>150</v>
      </c>
      <c r="F348" s="85"/>
      <c r="G348" s="12">
        <v>150</v>
      </c>
      <c r="H348" s="29">
        <f t="shared" si="145"/>
        <v>0</v>
      </c>
      <c r="I348" s="57"/>
      <c r="J348" s="57"/>
      <c r="K348" s="79">
        <f t="shared" si="146"/>
        <v>0</v>
      </c>
      <c r="L348" s="11">
        <v>25</v>
      </c>
      <c r="M348" s="52">
        <v>25</v>
      </c>
      <c r="N348" s="13">
        <v>25</v>
      </c>
      <c r="O348" s="85"/>
      <c r="P348" s="14"/>
      <c r="Q348" s="17">
        <f t="shared" si="144"/>
        <v>0</v>
      </c>
      <c r="R348" s="59"/>
      <c r="S348" s="31">
        <f t="shared" si="143"/>
        <v>0</v>
      </c>
    </row>
    <row r="349" spans="1:19" ht="35.25" customHeight="1" thickBot="1" x14ac:dyDescent="0.3">
      <c r="A349" s="69" t="s">
        <v>63</v>
      </c>
      <c r="B349" s="11">
        <v>20</v>
      </c>
      <c r="C349" s="11" t="s">
        <v>65</v>
      </c>
      <c r="D349" s="41">
        <v>20</v>
      </c>
      <c r="E349" s="11">
        <v>20</v>
      </c>
      <c r="F349" s="85"/>
      <c r="G349" s="12"/>
      <c r="H349" s="29">
        <f t="shared" si="145"/>
        <v>0</v>
      </c>
      <c r="I349" s="57"/>
      <c r="J349" s="57"/>
      <c r="K349" s="79">
        <f t="shared" si="146"/>
        <v>0</v>
      </c>
      <c r="L349" s="11">
        <v>0</v>
      </c>
      <c r="M349" s="52">
        <v>0</v>
      </c>
      <c r="N349" s="13"/>
      <c r="O349" s="85"/>
      <c r="P349" s="14"/>
      <c r="Q349" s="17">
        <f t="shared" si="144"/>
        <v>0</v>
      </c>
      <c r="R349" s="59"/>
      <c r="S349" s="31">
        <f t="shared" si="143"/>
        <v>0</v>
      </c>
    </row>
    <row r="350" spans="1:19" ht="35.25" customHeight="1" thickBot="1" x14ac:dyDescent="0.3">
      <c r="A350" s="74" t="s">
        <v>62</v>
      </c>
      <c r="B350" s="11">
        <v>11</v>
      </c>
      <c r="C350" s="11"/>
      <c r="D350" s="41">
        <v>11</v>
      </c>
      <c r="E350" s="11">
        <v>11</v>
      </c>
      <c r="F350" s="85"/>
      <c r="G350" s="12"/>
      <c r="H350" s="29">
        <f t="shared" si="145"/>
        <v>0</v>
      </c>
      <c r="I350" s="57"/>
      <c r="J350" s="57"/>
      <c r="K350" s="79">
        <f t="shared" si="146"/>
        <v>0</v>
      </c>
      <c r="L350" s="11">
        <v>3</v>
      </c>
      <c r="M350" s="52">
        <v>3</v>
      </c>
      <c r="N350" s="13">
        <v>3</v>
      </c>
      <c r="O350" s="85"/>
      <c r="P350" s="14"/>
      <c r="Q350" s="17">
        <f t="shared" si="144"/>
        <v>0</v>
      </c>
      <c r="R350" s="59"/>
      <c r="S350" s="31">
        <f t="shared" si="143"/>
        <v>0</v>
      </c>
    </row>
    <row r="351" spans="1:19" ht="35.25" customHeight="1" thickBot="1" x14ac:dyDescent="0.3">
      <c r="A351" s="69" t="s">
        <v>81</v>
      </c>
      <c r="B351" s="11">
        <v>105</v>
      </c>
      <c r="C351" s="11" t="s">
        <v>82</v>
      </c>
      <c r="D351" s="41">
        <v>105</v>
      </c>
      <c r="E351" s="11">
        <v>105</v>
      </c>
      <c r="F351" s="85"/>
      <c r="G351" s="12"/>
      <c r="H351" s="29">
        <f t="shared" si="145"/>
        <v>0</v>
      </c>
      <c r="I351" s="57"/>
      <c r="J351" s="57"/>
      <c r="K351" s="79">
        <f t="shared" si="146"/>
        <v>0</v>
      </c>
      <c r="L351" s="11"/>
      <c r="M351" s="52"/>
      <c r="N351" s="13"/>
      <c r="O351" s="85"/>
      <c r="P351" s="14"/>
      <c r="Q351" s="17">
        <f t="shared" si="144"/>
        <v>0</v>
      </c>
      <c r="R351" s="59"/>
      <c r="S351" s="31">
        <f t="shared" si="143"/>
        <v>0</v>
      </c>
    </row>
    <row r="352" spans="1:19" ht="35.25" customHeight="1" thickBot="1" x14ac:dyDescent="0.3">
      <c r="A352" s="69" t="s">
        <v>43</v>
      </c>
      <c r="B352" s="11">
        <v>20</v>
      </c>
      <c r="C352" s="11"/>
      <c r="D352" s="41">
        <v>20</v>
      </c>
      <c r="E352" s="11">
        <v>20</v>
      </c>
      <c r="F352" s="85"/>
      <c r="G352" s="12" t="s">
        <v>26</v>
      </c>
      <c r="H352" s="29">
        <f t="shared" si="145"/>
        <v>0</v>
      </c>
      <c r="I352" s="57"/>
      <c r="J352" s="57"/>
      <c r="K352" s="79">
        <f t="shared" si="146"/>
        <v>0</v>
      </c>
      <c r="L352" s="11"/>
      <c r="M352" s="52"/>
      <c r="N352" s="13"/>
      <c r="O352" s="85"/>
      <c r="P352" s="14"/>
      <c r="Q352" s="17">
        <f t="shared" si="144"/>
        <v>0</v>
      </c>
      <c r="R352" s="59"/>
      <c r="S352" s="31">
        <f t="shared" si="143"/>
        <v>0</v>
      </c>
    </row>
    <row r="353" spans="1:19" ht="35.25" customHeight="1" thickBot="1" x14ac:dyDescent="0.3">
      <c r="A353" s="69" t="s">
        <v>78</v>
      </c>
      <c r="B353" s="11"/>
      <c r="C353" s="11" t="s">
        <v>79</v>
      </c>
      <c r="D353" s="41"/>
      <c r="E353" s="11"/>
      <c r="F353" s="85"/>
      <c r="G353" s="12"/>
      <c r="H353" s="29">
        <f t="shared" si="145"/>
        <v>0</v>
      </c>
      <c r="I353" s="57"/>
      <c r="J353" s="57"/>
      <c r="K353" s="79">
        <f t="shared" si="146"/>
        <v>0</v>
      </c>
      <c r="L353" s="11">
        <v>12</v>
      </c>
      <c r="M353" s="52">
        <v>12</v>
      </c>
      <c r="N353" s="13">
        <v>12</v>
      </c>
      <c r="O353" s="85" t="s">
        <v>80</v>
      </c>
      <c r="P353" s="14"/>
      <c r="Q353" s="17">
        <f t="shared" si="144"/>
        <v>0</v>
      </c>
      <c r="R353" s="59"/>
      <c r="S353" s="31">
        <f t="shared" si="143"/>
        <v>0</v>
      </c>
    </row>
    <row r="354" spans="1:19" ht="35.25" customHeight="1" thickBot="1" x14ac:dyDescent="0.3">
      <c r="A354" s="69" t="s">
        <v>76</v>
      </c>
      <c r="B354" s="11">
        <v>100</v>
      </c>
      <c r="C354" s="11" t="s">
        <v>77</v>
      </c>
      <c r="D354" s="41">
        <v>100</v>
      </c>
      <c r="E354" s="11">
        <v>100</v>
      </c>
      <c r="F354" s="85"/>
      <c r="G354" s="12"/>
      <c r="H354" s="29">
        <f t="shared" si="145"/>
        <v>0</v>
      </c>
      <c r="I354" s="57"/>
      <c r="J354" s="57"/>
      <c r="K354" s="79">
        <f t="shared" si="146"/>
        <v>0</v>
      </c>
      <c r="L354" s="11"/>
      <c r="M354" s="52"/>
      <c r="N354" s="13"/>
      <c r="O354" s="85"/>
      <c r="P354" s="14"/>
      <c r="Q354" s="17">
        <f t="shared" si="144"/>
        <v>0</v>
      </c>
      <c r="R354" s="59"/>
      <c r="S354" s="31">
        <f t="shared" si="143"/>
        <v>0</v>
      </c>
    </row>
    <row r="355" spans="1:19" ht="35.25" customHeight="1" thickBot="1" x14ac:dyDescent="0.3">
      <c r="A355" s="69" t="s">
        <v>74</v>
      </c>
      <c r="B355" s="11">
        <v>500</v>
      </c>
      <c r="C355" s="11" t="s">
        <v>75</v>
      </c>
      <c r="D355" s="41">
        <v>500</v>
      </c>
      <c r="E355" s="11">
        <v>500</v>
      </c>
      <c r="F355" s="85"/>
      <c r="G355" s="12"/>
      <c r="H355" s="29">
        <f t="shared" si="145"/>
        <v>0</v>
      </c>
      <c r="I355" s="57"/>
      <c r="J355" s="57"/>
      <c r="K355" s="79">
        <f t="shared" si="146"/>
        <v>0</v>
      </c>
      <c r="L355" s="11">
        <v>100</v>
      </c>
      <c r="M355" s="52">
        <v>100</v>
      </c>
      <c r="N355" s="13">
        <v>100</v>
      </c>
      <c r="O355" s="85"/>
      <c r="P355" s="14"/>
      <c r="Q355" s="17">
        <f t="shared" si="144"/>
        <v>0</v>
      </c>
      <c r="R355" s="59"/>
      <c r="S355" s="31">
        <f t="shared" si="143"/>
        <v>0</v>
      </c>
    </row>
    <row r="356" spans="1:19" ht="35.25" customHeight="1" thickBot="1" x14ac:dyDescent="0.3">
      <c r="A356" s="69" t="s">
        <v>73</v>
      </c>
      <c r="B356" s="11">
        <v>24</v>
      </c>
      <c r="C356" s="11"/>
      <c r="D356" s="41">
        <v>24</v>
      </c>
      <c r="E356" s="11">
        <v>24</v>
      </c>
      <c r="F356" s="85"/>
      <c r="G356" s="12"/>
      <c r="H356" s="29">
        <f t="shared" si="145"/>
        <v>0</v>
      </c>
      <c r="I356" s="57"/>
      <c r="J356" s="57"/>
      <c r="K356" s="79">
        <f t="shared" si="146"/>
        <v>0</v>
      </c>
      <c r="L356" s="11">
        <v>24</v>
      </c>
      <c r="M356" s="52">
        <v>24</v>
      </c>
      <c r="N356" s="13">
        <v>24</v>
      </c>
      <c r="O356" s="85"/>
      <c r="P356" s="14"/>
      <c r="Q356" s="17">
        <f t="shared" si="144"/>
        <v>0</v>
      </c>
      <c r="R356" s="59"/>
      <c r="S356" s="31">
        <f t="shared" si="143"/>
        <v>0</v>
      </c>
    </row>
    <row r="357" spans="1:19" ht="35.25" customHeight="1" thickBot="1" x14ac:dyDescent="0.3">
      <c r="A357" s="69" t="s">
        <v>71</v>
      </c>
      <c r="B357" s="11">
        <v>15</v>
      </c>
      <c r="C357" s="11" t="s">
        <v>72</v>
      </c>
      <c r="D357" s="41">
        <v>15</v>
      </c>
      <c r="E357" s="11">
        <v>15</v>
      </c>
      <c r="F357" s="85" t="s">
        <v>3</v>
      </c>
      <c r="G357" s="12"/>
      <c r="H357" s="29">
        <f t="shared" si="145"/>
        <v>0</v>
      </c>
      <c r="I357" s="57"/>
      <c r="J357" s="57"/>
      <c r="K357" s="79">
        <f t="shared" si="146"/>
        <v>0</v>
      </c>
      <c r="L357" s="11">
        <v>15</v>
      </c>
      <c r="M357" s="52">
        <v>15</v>
      </c>
      <c r="N357" s="13">
        <v>15</v>
      </c>
      <c r="O357" s="85" t="s">
        <v>28</v>
      </c>
      <c r="P357" s="14"/>
      <c r="Q357" s="17">
        <f t="shared" si="144"/>
        <v>0</v>
      </c>
      <c r="R357" s="59"/>
      <c r="S357" s="31">
        <f t="shared" si="143"/>
        <v>0</v>
      </c>
    </row>
    <row r="358" spans="1:19" ht="35.25" customHeight="1" thickBot="1" x14ac:dyDescent="0.3">
      <c r="A358" s="69" t="s">
        <v>98</v>
      </c>
      <c r="B358" s="11">
        <v>100</v>
      </c>
      <c r="C358" s="11" t="s">
        <v>100</v>
      </c>
      <c r="D358" s="41">
        <v>100</v>
      </c>
      <c r="E358" s="11">
        <v>100</v>
      </c>
      <c r="F358" s="85" t="s">
        <v>99</v>
      </c>
      <c r="G358" s="12">
        <v>100</v>
      </c>
      <c r="H358" s="29">
        <f t="shared" si="145"/>
        <v>0</v>
      </c>
      <c r="I358" s="57"/>
      <c r="J358" s="57"/>
      <c r="K358" s="79">
        <f t="shared" si="146"/>
        <v>0</v>
      </c>
      <c r="L358" s="11"/>
      <c r="M358" s="52"/>
      <c r="N358" s="13"/>
      <c r="O358" s="85"/>
      <c r="P358" s="14"/>
      <c r="Q358" s="17">
        <f t="shared" si="144"/>
        <v>0</v>
      </c>
      <c r="R358" s="59"/>
      <c r="S358" s="31">
        <f t="shared" si="143"/>
        <v>0</v>
      </c>
    </row>
    <row r="359" spans="1:19" ht="35.25" customHeight="1" thickBot="1" x14ac:dyDescent="0.3">
      <c r="A359" s="69" t="s">
        <v>58</v>
      </c>
      <c r="B359" s="11">
        <v>0</v>
      </c>
      <c r="C359" s="11" t="s">
        <v>69</v>
      </c>
      <c r="D359" s="41">
        <v>0</v>
      </c>
      <c r="E359" s="11"/>
      <c r="F359" s="85"/>
      <c r="G359" s="12"/>
      <c r="H359" s="29">
        <f t="shared" si="145"/>
        <v>0</v>
      </c>
      <c r="I359" s="57"/>
      <c r="J359" s="57"/>
      <c r="K359" s="79">
        <f t="shared" si="146"/>
        <v>0</v>
      </c>
      <c r="L359" s="11">
        <v>12</v>
      </c>
      <c r="M359" s="52">
        <v>12</v>
      </c>
      <c r="N359" s="13">
        <v>12</v>
      </c>
      <c r="O359" s="85" t="s">
        <v>25</v>
      </c>
      <c r="P359" s="14"/>
      <c r="Q359" s="17">
        <f t="shared" si="144"/>
        <v>0</v>
      </c>
      <c r="R359" s="59"/>
      <c r="S359" s="31">
        <f t="shared" si="143"/>
        <v>0</v>
      </c>
    </row>
    <row r="360" spans="1:19" ht="35.25" customHeight="1" thickBot="1" x14ac:dyDescent="0.3">
      <c r="A360" s="69" t="s">
        <v>51</v>
      </c>
      <c r="B360" s="11">
        <v>24</v>
      </c>
      <c r="C360" s="11" t="s">
        <v>69</v>
      </c>
      <c r="D360" s="41">
        <v>24</v>
      </c>
      <c r="E360" s="11">
        <v>24</v>
      </c>
      <c r="F360" s="85"/>
      <c r="G360" s="12"/>
      <c r="H360" s="29">
        <f t="shared" si="145"/>
        <v>0</v>
      </c>
      <c r="I360" s="57"/>
      <c r="J360" s="57"/>
      <c r="K360" s="79">
        <f t="shared" si="146"/>
        <v>0</v>
      </c>
      <c r="L360" s="11">
        <v>24</v>
      </c>
      <c r="M360" s="52">
        <v>24</v>
      </c>
      <c r="N360" s="13">
        <v>24</v>
      </c>
      <c r="O360" s="85"/>
      <c r="P360" s="14"/>
      <c r="Q360" s="17">
        <f t="shared" si="144"/>
        <v>0</v>
      </c>
      <c r="R360" s="59"/>
      <c r="S360" s="31">
        <f t="shared" si="143"/>
        <v>0</v>
      </c>
    </row>
    <row r="361" spans="1:19" ht="35.25" customHeight="1" thickBot="1" x14ac:dyDescent="0.3">
      <c r="A361" s="69" t="s">
        <v>43</v>
      </c>
      <c r="B361" s="11">
        <v>72</v>
      </c>
      <c r="C361" s="11"/>
      <c r="D361" s="41">
        <v>72</v>
      </c>
      <c r="E361" s="11">
        <v>72</v>
      </c>
      <c r="F361" s="85"/>
      <c r="G361" s="12"/>
      <c r="H361" s="29">
        <f t="shared" si="145"/>
        <v>0</v>
      </c>
      <c r="I361" s="57"/>
      <c r="J361" s="57"/>
      <c r="K361" s="79">
        <f t="shared" si="146"/>
        <v>0</v>
      </c>
      <c r="L361" s="11"/>
      <c r="M361" s="52"/>
      <c r="N361" s="13"/>
      <c r="O361" s="85"/>
      <c r="P361" s="14"/>
      <c r="Q361" s="17">
        <f t="shared" si="144"/>
        <v>0</v>
      </c>
      <c r="R361" s="59"/>
      <c r="S361" s="31">
        <f t="shared" si="143"/>
        <v>0</v>
      </c>
    </row>
    <row r="362" spans="1:19" ht="35.25" customHeight="1" thickBot="1" x14ac:dyDescent="0.3">
      <c r="A362" s="69" t="s">
        <v>56</v>
      </c>
      <c r="B362" s="11">
        <v>312</v>
      </c>
      <c r="C362" s="11"/>
      <c r="D362" s="41">
        <v>312</v>
      </c>
      <c r="E362" s="11">
        <v>312</v>
      </c>
      <c r="F362" s="85"/>
      <c r="G362" s="12"/>
      <c r="H362" s="29">
        <f t="shared" si="145"/>
        <v>0</v>
      </c>
      <c r="I362" s="57"/>
      <c r="J362" s="57"/>
      <c r="K362" s="79">
        <f t="shared" si="146"/>
        <v>0</v>
      </c>
      <c r="L362" s="11">
        <v>24</v>
      </c>
      <c r="M362" s="52">
        <v>24</v>
      </c>
      <c r="N362" s="13">
        <v>24</v>
      </c>
      <c r="O362" s="85"/>
      <c r="P362" s="14"/>
      <c r="Q362" s="17">
        <f t="shared" si="144"/>
        <v>0</v>
      </c>
      <c r="R362" s="59"/>
      <c r="S362" s="31">
        <f t="shared" si="143"/>
        <v>0</v>
      </c>
    </row>
    <row r="363" spans="1:19" ht="35.25" customHeight="1" thickBot="1" x14ac:dyDescent="0.3">
      <c r="A363" s="69" t="s">
        <v>55</v>
      </c>
      <c r="B363" s="11">
        <v>200</v>
      </c>
      <c r="C363" s="11"/>
      <c r="D363" s="41">
        <v>200</v>
      </c>
      <c r="E363" s="11">
        <v>200</v>
      </c>
      <c r="F363" s="85"/>
      <c r="G363" s="12"/>
      <c r="H363" s="29">
        <f t="shared" si="145"/>
        <v>0</v>
      </c>
      <c r="I363" s="57"/>
      <c r="J363" s="57"/>
      <c r="K363" s="79">
        <f t="shared" si="146"/>
        <v>0</v>
      </c>
      <c r="L363" s="11">
        <v>60</v>
      </c>
      <c r="M363" s="52">
        <v>60</v>
      </c>
      <c r="N363" s="13">
        <v>60</v>
      </c>
      <c r="O363" s="85"/>
      <c r="P363" s="14"/>
      <c r="Q363" s="17">
        <f t="shared" si="144"/>
        <v>0</v>
      </c>
      <c r="R363" s="59"/>
      <c r="S363" s="31">
        <f t="shared" si="143"/>
        <v>0</v>
      </c>
    </row>
    <row r="364" spans="1:19" ht="35.25" customHeight="1" thickBot="1" x14ac:dyDescent="0.3">
      <c r="A364" s="69" t="s">
        <v>54</v>
      </c>
      <c r="B364" s="11">
        <v>40</v>
      </c>
      <c r="C364" s="11"/>
      <c r="D364" s="41">
        <v>40</v>
      </c>
      <c r="E364" s="11">
        <v>40</v>
      </c>
      <c r="F364" s="85"/>
      <c r="G364" s="12"/>
      <c r="H364" s="29">
        <f t="shared" si="145"/>
        <v>0</v>
      </c>
      <c r="I364" s="57"/>
      <c r="J364" s="57"/>
      <c r="K364" s="79">
        <f t="shared" si="146"/>
        <v>0</v>
      </c>
      <c r="L364" s="11"/>
      <c r="M364" s="52"/>
      <c r="N364" s="13"/>
      <c r="O364" s="85"/>
      <c r="P364" s="14"/>
      <c r="Q364" s="17">
        <f t="shared" si="144"/>
        <v>0</v>
      </c>
      <c r="R364" s="59"/>
      <c r="S364" s="31">
        <f t="shared" si="143"/>
        <v>0</v>
      </c>
    </row>
    <row r="365" spans="1:19" ht="35.25" customHeight="1" thickBot="1" x14ac:dyDescent="0.3">
      <c r="A365" s="69" t="s">
        <v>53</v>
      </c>
      <c r="B365" s="11">
        <v>250</v>
      </c>
      <c r="C365" s="11"/>
      <c r="D365" s="41">
        <v>250</v>
      </c>
      <c r="E365" s="11">
        <v>250</v>
      </c>
      <c r="F365" s="85"/>
      <c r="G365" s="12"/>
      <c r="H365" s="29">
        <f t="shared" si="145"/>
        <v>0</v>
      </c>
      <c r="I365" s="57"/>
      <c r="J365" s="57"/>
      <c r="K365" s="79">
        <f t="shared" si="146"/>
        <v>0</v>
      </c>
      <c r="L365" s="11"/>
      <c r="M365" s="52"/>
      <c r="N365" s="13"/>
      <c r="O365" s="85"/>
      <c r="P365" s="14"/>
      <c r="Q365" s="17">
        <f t="shared" si="144"/>
        <v>0</v>
      </c>
      <c r="R365" s="59"/>
      <c r="S365" s="31">
        <f t="shared" si="143"/>
        <v>0</v>
      </c>
    </row>
    <row r="366" spans="1:19" ht="35.25" customHeight="1" thickBot="1" x14ac:dyDescent="0.3">
      <c r="A366" s="69" t="s">
        <v>52</v>
      </c>
      <c r="B366" s="11">
        <v>237</v>
      </c>
      <c r="C366" s="11"/>
      <c r="D366" s="41">
        <v>237</v>
      </c>
      <c r="E366" s="11">
        <v>237</v>
      </c>
      <c r="F366" s="85"/>
      <c r="G366" s="12"/>
      <c r="H366" s="29">
        <f t="shared" si="145"/>
        <v>0</v>
      </c>
      <c r="I366" s="57"/>
      <c r="J366" s="57"/>
      <c r="K366" s="79">
        <f t="shared" si="146"/>
        <v>0</v>
      </c>
      <c r="L366" s="11">
        <v>200</v>
      </c>
      <c r="M366" s="52">
        <v>200</v>
      </c>
      <c r="N366" s="13">
        <v>200</v>
      </c>
      <c r="O366" s="85" t="s">
        <v>28</v>
      </c>
      <c r="P366" s="14"/>
      <c r="Q366" s="17">
        <f t="shared" si="144"/>
        <v>0</v>
      </c>
      <c r="R366" s="59"/>
      <c r="S366" s="31">
        <f t="shared" si="143"/>
        <v>0</v>
      </c>
    </row>
    <row r="367" spans="1:19" ht="35.25" customHeight="1" thickBot="1" x14ac:dyDescent="0.3">
      <c r="A367" s="69" t="s">
        <v>45</v>
      </c>
      <c r="B367" s="11">
        <v>136</v>
      </c>
      <c r="C367" s="11"/>
      <c r="D367" s="41">
        <v>136</v>
      </c>
      <c r="E367" s="11">
        <v>136</v>
      </c>
      <c r="F367" s="85"/>
      <c r="G367" s="12"/>
      <c r="H367" s="29">
        <f t="shared" si="145"/>
        <v>0</v>
      </c>
      <c r="I367" s="57"/>
      <c r="J367" s="57"/>
      <c r="K367" s="79">
        <f t="shared" si="146"/>
        <v>0</v>
      </c>
      <c r="L367" s="11">
        <v>50</v>
      </c>
      <c r="M367" s="52">
        <v>50</v>
      </c>
      <c r="N367" s="13">
        <v>50</v>
      </c>
      <c r="O367" s="85"/>
      <c r="P367" s="14"/>
      <c r="Q367" s="17">
        <f t="shared" si="144"/>
        <v>0</v>
      </c>
      <c r="R367" s="59"/>
      <c r="S367" s="31">
        <f t="shared" si="143"/>
        <v>0</v>
      </c>
    </row>
    <row r="368" spans="1:19" ht="35.25" customHeight="1" thickBot="1" x14ac:dyDescent="0.3">
      <c r="A368" s="69" t="s">
        <v>20</v>
      </c>
      <c r="B368" s="11">
        <v>12</v>
      </c>
      <c r="C368" s="11"/>
      <c r="D368" s="41">
        <v>12</v>
      </c>
      <c r="E368" s="11">
        <v>12</v>
      </c>
      <c r="F368" s="85"/>
      <c r="G368" s="12"/>
      <c r="H368" s="29">
        <f t="shared" si="145"/>
        <v>0</v>
      </c>
      <c r="I368" s="57"/>
      <c r="J368" s="57"/>
      <c r="K368" s="79">
        <f t="shared" si="146"/>
        <v>0</v>
      </c>
      <c r="L368" s="11"/>
      <c r="M368" s="52"/>
      <c r="N368" s="13"/>
      <c r="O368" s="85"/>
      <c r="P368" s="14"/>
      <c r="Q368" s="17">
        <f t="shared" si="144"/>
        <v>0</v>
      </c>
      <c r="R368" s="59"/>
      <c r="S368" s="31">
        <f t="shared" si="143"/>
        <v>0</v>
      </c>
    </row>
    <row r="369" spans="1:19" ht="35.25" customHeight="1" thickBot="1" x14ac:dyDescent="0.3">
      <c r="A369" s="69" t="s">
        <v>51</v>
      </c>
      <c r="B369" s="11">
        <v>219</v>
      </c>
      <c r="C369" s="11"/>
      <c r="D369" s="41">
        <v>219</v>
      </c>
      <c r="E369" s="11">
        <v>219</v>
      </c>
      <c r="F369" s="85"/>
      <c r="G369" s="12"/>
      <c r="H369" s="29">
        <f t="shared" si="145"/>
        <v>0</v>
      </c>
      <c r="I369" s="57"/>
      <c r="J369" s="57"/>
      <c r="K369" s="79">
        <f t="shared" si="146"/>
        <v>0</v>
      </c>
      <c r="L369" s="11">
        <v>12</v>
      </c>
      <c r="M369" s="52">
        <v>12</v>
      </c>
      <c r="N369" s="13">
        <v>12</v>
      </c>
      <c r="O369" s="85"/>
      <c r="P369" s="14"/>
      <c r="Q369" s="17">
        <f t="shared" si="144"/>
        <v>0</v>
      </c>
      <c r="R369" s="59"/>
      <c r="S369" s="31">
        <f t="shared" si="143"/>
        <v>0</v>
      </c>
    </row>
    <row r="370" spans="1:19" ht="35.25" customHeight="1" thickBot="1" x14ac:dyDescent="0.3">
      <c r="A370" s="69" t="s">
        <v>50</v>
      </c>
      <c r="B370" s="11">
        <v>30</v>
      </c>
      <c r="C370" s="11"/>
      <c r="D370" s="41">
        <v>30</v>
      </c>
      <c r="E370" s="11">
        <v>30</v>
      </c>
      <c r="F370" s="85"/>
      <c r="G370" s="12"/>
      <c r="H370" s="29">
        <f t="shared" si="145"/>
        <v>0</v>
      </c>
      <c r="I370" s="57"/>
      <c r="J370" s="57"/>
      <c r="K370" s="79">
        <f t="shared" si="146"/>
        <v>0</v>
      </c>
      <c r="L370" s="11">
        <v>7</v>
      </c>
      <c r="M370" s="52">
        <v>7</v>
      </c>
      <c r="N370" s="13">
        <v>7</v>
      </c>
      <c r="O370" s="85"/>
      <c r="P370" s="14"/>
      <c r="Q370" s="17">
        <f t="shared" si="144"/>
        <v>0</v>
      </c>
      <c r="R370" s="59"/>
      <c r="S370" s="31">
        <f t="shared" ref="S370:S424" si="147">(N370-M370)</f>
        <v>0</v>
      </c>
    </row>
    <row r="371" spans="1:19" ht="35.25" customHeight="1" thickBot="1" x14ac:dyDescent="0.3">
      <c r="A371" s="69" t="s">
        <v>49</v>
      </c>
      <c r="B371" s="11">
        <v>10</v>
      </c>
      <c r="C371" s="11"/>
      <c r="D371" s="41">
        <v>10</v>
      </c>
      <c r="E371" s="11">
        <v>10</v>
      </c>
      <c r="F371" s="85"/>
      <c r="G371" s="12"/>
      <c r="H371" s="29">
        <f t="shared" si="145"/>
        <v>0</v>
      </c>
      <c r="I371" s="57"/>
      <c r="J371" s="57"/>
      <c r="K371" s="79">
        <f t="shared" si="146"/>
        <v>0</v>
      </c>
      <c r="L371" s="11">
        <v>3</v>
      </c>
      <c r="M371" s="52">
        <v>3</v>
      </c>
      <c r="N371" s="13">
        <v>3</v>
      </c>
      <c r="O371" s="85"/>
      <c r="P371" s="14"/>
      <c r="Q371" s="17">
        <f t="shared" si="144"/>
        <v>0</v>
      </c>
      <c r="R371" s="59"/>
      <c r="S371" s="31">
        <f t="shared" si="147"/>
        <v>0</v>
      </c>
    </row>
    <row r="372" spans="1:19" ht="35.25" customHeight="1" thickBot="1" x14ac:dyDescent="0.3">
      <c r="A372" s="69" t="s">
        <v>48</v>
      </c>
      <c r="B372" s="11">
        <v>250</v>
      </c>
      <c r="C372" s="11"/>
      <c r="D372" s="41">
        <v>250</v>
      </c>
      <c r="E372" s="11">
        <v>250</v>
      </c>
      <c r="F372" s="85"/>
      <c r="G372" s="12"/>
      <c r="H372" s="29">
        <f t="shared" si="145"/>
        <v>0</v>
      </c>
      <c r="I372" s="57"/>
      <c r="J372" s="57"/>
      <c r="K372" s="79">
        <f t="shared" si="146"/>
        <v>0</v>
      </c>
      <c r="L372" s="11">
        <v>50</v>
      </c>
      <c r="M372" s="52">
        <v>50</v>
      </c>
      <c r="N372" s="13">
        <v>50</v>
      </c>
      <c r="O372" s="85"/>
      <c r="P372" s="14"/>
      <c r="Q372" s="17">
        <f t="shared" si="144"/>
        <v>0</v>
      </c>
      <c r="R372" s="59"/>
      <c r="S372" s="31">
        <f t="shared" si="147"/>
        <v>0</v>
      </c>
    </row>
    <row r="373" spans="1:19" ht="35.25" customHeight="1" thickBot="1" x14ac:dyDescent="0.3">
      <c r="A373" s="69" t="s">
        <v>33</v>
      </c>
      <c r="B373" s="11">
        <v>500</v>
      </c>
      <c r="C373" s="11"/>
      <c r="D373" s="41">
        <v>500</v>
      </c>
      <c r="E373" s="11">
        <v>500</v>
      </c>
      <c r="F373" s="85"/>
      <c r="G373" s="12"/>
      <c r="H373" s="29">
        <f t="shared" si="145"/>
        <v>0</v>
      </c>
      <c r="I373" s="57"/>
      <c r="J373" s="57"/>
      <c r="K373" s="79">
        <f t="shared" si="146"/>
        <v>0</v>
      </c>
      <c r="L373" s="11"/>
      <c r="M373" s="52"/>
      <c r="N373" s="13"/>
      <c r="O373" s="85"/>
      <c r="P373" s="14"/>
      <c r="Q373" s="17">
        <f t="shared" ref="Q373:Q390" si="148">L373-N373</f>
        <v>0</v>
      </c>
      <c r="R373" s="59"/>
      <c r="S373" s="31">
        <f t="shared" si="147"/>
        <v>0</v>
      </c>
    </row>
    <row r="374" spans="1:19" ht="35.25" customHeight="1" thickBot="1" x14ac:dyDescent="0.3">
      <c r="A374" s="69" t="s">
        <v>46</v>
      </c>
      <c r="B374" s="11">
        <v>1000</v>
      </c>
      <c r="C374" s="11"/>
      <c r="D374" s="41">
        <v>1000</v>
      </c>
      <c r="E374" s="11">
        <v>1000</v>
      </c>
      <c r="F374" s="85"/>
      <c r="G374" s="12"/>
      <c r="H374" s="29">
        <f t="shared" si="145"/>
        <v>0</v>
      </c>
      <c r="I374" s="57"/>
      <c r="J374" s="57"/>
      <c r="K374" s="79">
        <f t="shared" si="146"/>
        <v>0</v>
      </c>
      <c r="L374" s="11"/>
      <c r="M374" s="52"/>
      <c r="N374" s="13"/>
      <c r="O374" s="85"/>
      <c r="P374" s="14"/>
      <c r="Q374" s="17">
        <f t="shared" si="148"/>
        <v>0</v>
      </c>
      <c r="R374" s="59"/>
      <c r="S374" s="31">
        <f t="shared" si="147"/>
        <v>0</v>
      </c>
    </row>
    <row r="375" spans="1:19" ht="35.25" customHeight="1" thickBot="1" x14ac:dyDescent="0.3">
      <c r="A375" s="69" t="s">
        <v>32</v>
      </c>
      <c r="B375" s="11">
        <v>2310</v>
      </c>
      <c r="C375" s="11"/>
      <c r="D375" s="41">
        <v>2310</v>
      </c>
      <c r="E375" s="11">
        <v>2310</v>
      </c>
      <c r="F375" s="85"/>
      <c r="G375" s="12"/>
      <c r="H375" s="29">
        <f t="shared" si="145"/>
        <v>0</v>
      </c>
      <c r="I375" s="57"/>
      <c r="J375" s="57"/>
      <c r="K375" s="79">
        <f t="shared" si="146"/>
        <v>0</v>
      </c>
      <c r="L375" s="11"/>
      <c r="M375" s="52"/>
      <c r="N375" s="13"/>
      <c r="O375" s="85"/>
      <c r="P375" s="14"/>
      <c r="Q375" s="17">
        <f t="shared" si="148"/>
        <v>0</v>
      </c>
      <c r="R375" s="59"/>
      <c r="S375" s="31">
        <f t="shared" si="147"/>
        <v>0</v>
      </c>
    </row>
    <row r="376" spans="1:19" ht="35.25" customHeight="1" thickBot="1" x14ac:dyDescent="0.3">
      <c r="A376" s="69" t="s">
        <v>47</v>
      </c>
      <c r="B376" s="11">
        <v>16</v>
      </c>
      <c r="C376" s="11"/>
      <c r="D376" s="41">
        <v>16</v>
      </c>
      <c r="E376" s="11">
        <v>16</v>
      </c>
      <c r="F376" s="85"/>
      <c r="G376" s="12"/>
      <c r="H376" s="29">
        <f t="shared" si="145"/>
        <v>0</v>
      </c>
      <c r="I376" s="57"/>
      <c r="J376" s="57"/>
      <c r="K376" s="79">
        <f t="shared" si="146"/>
        <v>0</v>
      </c>
      <c r="L376" s="11"/>
      <c r="M376" s="52"/>
      <c r="N376" s="13"/>
      <c r="O376" s="85"/>
      <c r="P376" s="14"/>
      <c r="Q376" s="17">
        <f t="shared" si="148"/>
        <v>0</v>
      </c>
      <c r="R376" s="59"/>
      <c r="S376" s="31">
        <f t="shared" si="147"/>
        <v>0</v>
      </c>
    </row>
    <row r="377" spans="1:19" ht="35.25" customHeight="1" thickBot="1" x14ac:dyDescent="0.3">
      <c r="A377" s="69" t="s">
        <v>45</v>
      </c>
      <c r="B377" s="11"/>
      <c r="C377" s="11"/>
      <c r="D377" s="41"/>
      <c r="E377" s="11"/>
      <c r="F377" s="85"/>
      <c r="G377" s="12"/>
      <c r="H377" s="29">
        <f t="shared" si="145"/>
        <v>0</v>
      </c>
      <c r="I377" s="57"/>
      <c r="J377" s="57"/>
      <c r="K377" s="79">
        <f t="shared" si="146"/>
        <v>0</v>
      </c>
      <c r="L377" s="11">
        <v>20</v>
      </c>
      <c r="M377" s="52">
        <v>20</v>
      </c>
      <c r="N377" s="13">
        <v>20</v>
      </c>
      <c r="O377" s="85"/>
      <c r="P377" s="14"/>
      <c r="Q377" s="17">
        <f t="shared" si="148"/>
        <v>0</v>
      </c>
      <c r="R377" s="59"/>
      <c r="S377" s="31">
        <f t="shared" si="147"/>
        <v>0</v>
      </c>
    </row>
    <row r="378" spans="1:19" ht="35.25" customHeight="1" thickBot="1" x14ac:dyDescent="0.3">
      <c r="A378" s="69" t="s">
        <v>43</v>
      </c>
      <c r="B378" s="11">
        <v>48</v>
      </c>
      <c r="C378" s="11"/>
      <c r="D378" s="41">
        <v>48</v>
      </c>
      <c r="E378" s="11">
        <v>48</v>
      </c>
      <c r="F378" s="85"/>
      <c r="G378" s="12"/>
      <c r="H378" s="29">
        <f t="shared" si="145"/>
        <v>0</v>
      </c>
      <c r="I378" s="57"/>
      <c r="J378" s="57"/>
      <c r="K378" s="79">
        <f t="shared" si="146"/>
        <v>0</v>
      </c>
      <c r="L378" s="11">
        <v>25</v>
      </c>
      <c r="M378" s="52">
        <v>25</v>
      </c>
      <c r="N378" s="13">
        <v>25</v>
      </c>
      <c r="O378" s="85"/>
      <c r="P378" s="14"/>
      <c r="Q378" s="17">
        <f t="shared" si="148"/>
        <v>0</v>
      </c>
      <c r="R378" s="59"/>
      <c r="S378" s="31">
        <f t="shared" si="147"/>
        <v>0</v>
      </c>
    </row>
    <row r="379" spans="1:19" ht="35.25" customHeight="1" thickBot="1" x14ac:dyDescent="0.3">
      <c r="A379" s="69" t="s">
        <v>44</v>
      </c>
      <c r="B379" s="11">
        <v>60</v>
      </c>
      <c r="C379" s="11"/>
      <c r="D379" s="41">
        <v>60</v>
      </c>
      <c r="E379" s="11">
        <v>60</v>
      </c>
      <c r="F379" s="85"/>
      <c r="G379" s="12"/>
      <c r="H379" s="29">
        <f t="shared" si="145"/>
        <v>0</v>
      </c>
      <c r="I379" s="57"/>
      <c r="J379" s="57"/>
      <c r="K379" s="79">
        <f t="shared" si="146"/>
        <v>0</v>
      </c>
      <c r="L379" s="11">
        <v>6</v>
      </c>
      <c r="M379" s="52">
        <v>6</v>
      </c>
      <c r="N379" s="13">
        <v>6</v>
      </c>
      <c r="O379" s="85"/>
      <c r="P379" s="14"/>
      <c r="Q379" s="17">
        <f t="shared" si="148"/>
        <v>0</v>
      </c>
      <c r="R379" s="59"/>
      <c r="S379" s="31">
        <f t="shared" si="147"/>
        <v>0</v>
      </c>
    </row>
    <row r="380" spans="1:19" ht="35.25" customHeight="1" thickBot="1" x14ac:dyDescent="0.3">
      <c r="A380" s="69" t="s">
        <v>21</v>
      </c>
      <c r="B380" s="11">
        <v>18</v>
      </c>
      <c r="C380" s="11"/>
      <c r="D380" s="41">
        <v>18</v>
      </c>
      <c r="E380" s="11">
        <v>18</v>
      </c>
      <c r="F380" s="85"/>
      <c r="G380" s="12"/>
      <c r="H380" s="29">
        <f t="shared" si="145"/>
        <v>0</v>
      </c>
      <c r="I380" s="57"/>
      <c r="J380" s="57"/>
      <c r="K380" s="79">
        <f t="shared" si="146"/>
        <v>0</v>
      </c>
      <c r="L380" s="11"/>
      <c r="M380" s="52"/>
      <c r="N380" s="13"/>
      <c r="O380" s="85"/>
      <c r="P380" s="14"/>
      <c r="Q380" s="17">
        <f t="shared" si="148"/>
        <v>0</v>
      </c>
      <c r="R380" s="59"/>
      <c r="S380" s="31">
        <f t="shared" si="147"/>
        <v>0</v>
      </c>
    </row>
    <row r="381" spans="1:19" ht="35.25" customHeight="1" thickBot="1" x14ac:dyDescent="0.3">
      <c r="A381" s="69" t="s">
        <v>42</v>
      </c>
      <c r="B381" s="11">
        <v>50</v>
      </c>
      <c r="C381" s="11"/>
      <c r="D381" s="41">
        <v>50</v>
      </c>
      <c r="E381" s="11">
        <v>50</v>
      </c>
      <c r="F381" s="85"/>
      <c r="G381" s="12"/>
      <c r="H381" s="29">
        <f t="shared" si="145"/>
        <v>0</v>
      </c>
      <c r="I381" s="57"/>
      <c r="J381" s="57"/>
      <c r="K381" s="79">
        <f t="shared" si="146"/>
        <v>0</v>
      </c>
      <c r="L381" s="11"/>
      <c r="M381" s="52"/>
      <c r="N381" s="13"/>
      <c r="O381" s="85"/>
      <c r="P381" s="14"/>
      <c r="Q381" s="17">
        <f t="shared" si="148"/>
        <v>0</v>
      </c>
      <c r="R381" s="59"/>
      <c r="S381" s="31">
        <f t="shared" si="147"/>
        <v>0</v>
      </c>
    </row>
    <row r="382" spans="1:19" ht="35.25" customHeight="1" thickBot="1" x14ac:dyDescent="0.3">
      <c r="A382" s="69" t="s">
        <v>41</v>
      </c>
      <c r="B382" s="11">
        <v>60</v>
      </c>
      <c r="C382" s="11"/>
      <c r="D382" s="41">
        <v>60</v>
      </c>
      <c r="E382" s="11">
        <v>60</v>
      </c>
      <c r="F382" s="85"/>
      <c r="G382" s="12"/>
      <c r="H382" s="29">
        <f t="shared" si="145"/>
        <v>0</v>
      </c>
      <c r="I382" s="57"/>
      <c r="J382" s="57"/>
      <c r="K382" s="79">
        <f t="shared" si="146"/>
        <v>0</v>
      </c>
      <c r="L382" s="11">
        <v>6</v>
      </c>
      <c r="M382" s="52">
        <v>6</v>
      </c>
      <c r="N382" s="13">
        <v>6</v>
      </c>
      <c r="O382" s="85"/>
      <c r="P382" s="14"/>
      <c r="Q382" s="17">
        <f t="shared" si="148"/>
        <v>0</v>
      </c>
      <c r="R382" s="59"/>
      <c r="S382" s="31">
        <f t="shared" si="147"/>
        <v>0</v>
      </c>
    </row>
    <row r="383" spans="1:19" ht="35.25" customHeight="1" thickBot="1" x14ac:dyDescent="0.3">
      <c r="A383" s="69" t="s">
        <v>38</v>
      </c>
      <c r="B383" s="11">
        <v>24</v>
      </c>
      <c r="C383" s="11"/>
      <c r="D383" s="41">
        <v>24</v>
      </c>
      <c r="E383" s="11">
        <f>8+16</f>
        <v>24</v>
      </c>
      <c r="F383" s="85"/>
      <c r="G383" s="12"/>
      <c r="H383" s="29">
        <f t="shared" si="145"/>
        <v>0</v>
      </c>
      <c r="I383" s="57"/>
      <c r="J383" s="57"/>
      <c r="K383" s="79">
        <f t="shared" si="146"/>
        <v>0</v>
      </c>
      <c r="L383" s="11"/>
      <c r="M383" s="52"/>
      <c r="N383" s="13"/>
      <c r="O383" s="85"/>
      <c r="P383" s="14"/>
      <c r="Q383" s="17">
        <f t="shared" si="148"/>
        <v>0</v>
      </c>
      <c r="R383" s="59"/>
      <c r="S383" s="31">
        <f t="shared" si="147"/>
        <v>0</v>
      </c>
    </row>
    <row r="384" spans="1:19" ht="35.25" customHeight="1" thickBot="1" x14ac:dyDescent="0.3">
      <c r="A384" s="69" t="s">
        <v>37</v>
      </c>
      <c r="B384" s="11">
        <v>130</v>
      </c>
      <c r="C384" s="11"/>
      <c r="D384" s="41">
        <v>130</v>
      </c>
      <c r="E384" s="11">
        <v>130</v>
      </c>
      <c r="F384" s="85"/>
      <c r="G384" s="12"/>
      <c r="H384" s="29">
        <f t="shared" si="145"/>
        <v>0</v>
      </c>
      <c r="I384" s="57"/>
      <c r="J384" s="57"/>
      <c r="K384" s="79">
        <f t="shared" si="146"/>
        <v>0</v>
      </c>
      <c r="L384" s="11">
        <v>30</v>
      </c>
      <c r="M384" s="52">
        <v>30</v>
      </c>
      <c r="N384" s="13">
        <v>30</v>
      </c>
      <c r="O384" s="85"/>
      <c r="P384" s="14"/>
      <c r="Q384" s="17">
        <f t="shared" si="148"/>
        <v>0</v>
      </c>
      <c r="R384" s="59"/>
      <c r="S384" s="31">
        <f t="shared" si="147"/>
        <v>0</v>
      </c>
    </row>
    <row r="385" spans="1:19" ht="35.25" customHeight="1" thickBot="1" x14ac:dyDescent="0.3">
      <c r="A385" s="69" t="s">
        <v>20</v>
      </c>
      <c r="B385" s="11">
        <v>6</v>
      </c>
      <c r="C385" s="11"/>
      <c r="D385" s="41">
        <v>6</v>
      </c>
      <c r="E385" s="11">
        <v>6</v>
      </c>
      <c r="F385" s="85" t="s">
        <v>35</v>
      </c>
      <c r="G385" s="12"/>
      <c r="H385" s="29">
        <f t="shared" si="145"/>
        <v>0</v>
      </c>
      <c r="I385" s="57"/>
      <c r="J385" s="57"/>
      <c r="K385" s="79">
        <f t="shared" si="146"/>
        <v>0</v>
      </c>
      <c r="L385" s="11">
        <v>12</v>
      </c>
      <c r="M385" s="52">
        <v>29</v>
      </c>
      <c r="N385" s="13">
        <v>29</v>
      </c>
      <c r="O385" s="85" t="s">
        <v>36</v>
      </c>
      <c r="P385" s="14"/>
      <c r="Q385" s="17">
        <f t="shared" si="148"/>
        <v>-17</v>
      </c>
      <c r="R385" s="59"/>
      <c r="S385" s="31">
        <f t="shared" si="147"/>
        <v>0</v>
      </c>
    </row>
    <row r="386" spans="1:19" ht="35.25" customHeight="1" thickBot="1" x14ac:dyDescent="0.3">
      <c r="A386" s="69" t="s">
        <v>34</v>
      </c>
      <c r="B386" s="11"/>
      <c r="C386" s="11"/>
      <c r="D386" s="41"/>
      <c r="E386" s="11"/>
      <c r="F386" s="85"/>
      <c r="G386" s="12"/>
      <c r="H386" s="29">
        <f t="shared" si="145"/>
        <v>0</v>
      </c>
      <c r="I386" s="57"/>
      <c r="J386" s="57"/>
      <c r="K386" s="79">
        <f t="shared" si="146"/>
        <v>0</v>
      </c>
      <c r="L386" s="11">
        <v>12</v>
      </c>
      <c r="M386" s="52">
        <v>12</v>
      </c>
      <c r="N386" s="13">
        <v>12</v>
      </c>
      <c r="O386" s="85"/>
      <c r="P386" s="14"/>
      <c r="Q386" s="17">
        <f t="shared" si="148"/>
        <v>0</v>
      </c>
      <c r="R386" s="59"/>
      <c r="S386" s="31">
        <f t="shared" si="147"/>
        <v>0</v>
      </c>
    </row>
    <row r="387" spans="1:19" ht="35.25" customHeight="1" thickBot="1" x14ac:dyDescent="0.3">
      <c r="A387" s="69" t="s">
        <v>31</v>
      </c>
      <c r="B387" s="11">
        <v>20</v>
      </c>
      <c r="C387" s="11"/>
      <c r="D387" s="41">
        <v>20</v>
      </c>
      <c r="E387" s="11">
        <v>20</v>
      </c>
      <c r="F387" s="85"/>
      <c r="G387" s="12"/>
      <c r="H387" s="29">
        <f t="shared" si="145"/>
        <v>0</v>
      </c>
      <c r="I387" s="57"/>
      <c r="J387" s="57"/>
      <c r="K387" s="79">
        <f t="shared" si="146"/>
        <v>0</v>
      </c>
      <c r="L387" s="11">
        <v>50</v>
      </c>
      <c r="M387" s="52">
        <v>50</v>
      </c>
      <c r="N387" s="13">
        <v>50</v>
      </c>
      <c r="O387" s="85"/>
      <c r="P387" s="14"/>
      <c r="Q387" s="17">
        <f t="shared" si="148"/>
        <v>0</v>
      </c>
      <c r="R387" s="59"/>
      <c r="S387" s="31">
        <f t="shared" si="147"/>
        <v>0</v>
      </c>
    </row>
    <row r="388" spans="1:19" ht="35.25" customHeight="1" thickBot="1" x14ac:dyDescent="0.3">
      <c r="A388" s="69" t="s">
        <v>21</v>
      </c>
      <c r="B388" s="11">
        <v>80</v>
      </c>
      <c r="C388" s="11"/>
      <c r="D388" s="41">
        <v>80</v>
      </c>
      <c r="E388" s="11">
        <v>80</v>
      </c>
      <c r="F388" s="85"/>
      <c r="G388" s="12"/>
      <c r="H388" s="29">
        <f t="shared" si="145"/>
        <v>0</v>
      </c>
      <c r="I388" s="57"/>
      <c r="J388" s="57"/>
      <c r="K388" s="79">
        <f t="shared" si="146"/>
        <v>0</v>
      </c>
      <c r="L388" s="11">
        <v>75</v>
      </c>
      <c r="M388" s="52">
        <v>75</v>
      </c>
      <c r="N388" s="13">
        <v>75</v>
      </c>
      <c r="O388" s="85" t="s">
        <v>25</v>
      </c>
      <c r="P388" s="14"/>
      <c r="Q388" s="17">
        <f t="shared" si="148"/>
        <v>0</v>
      </c>
      <c r="R388" s="59"/>
      <c r="S388" s="31">
        <f t="shared" si="147"/>
        <v>0</v>
      </c>
    </row>
    <row r="389" spans="1:19" ht="35.25" customHeight="1" thickBot="1" x14ac:dyDescent="0.3">
      <c r="A389" s="69" t="s">
        <v>22</v>
      </c>
      <c r="B389" s="11">
        <v>100</v>
      </c>
      <c r="C389" s="11"/>
      <c r="D389" s="41">
        <v>100</v>
      </c>
      <c r="E389" s="11">
        <v>100</v>
      </c>
      <c r="F389" s="85"/>
      <c r="G389" s="12"/>
      <c r="H389" s="29">
        <f t="shared" si="145"/>
        <v>0</v>
      </c>
      <c r="I389" s="57"/>
      <c r="J389" s="57"/>
      <c r="K389" s="79">
        <f t="shared" si="146"/>
        <v>0</v>
      </c>
      <c r="L389" s="11"/>
      <c r="M389" s="52"/>
      <c r="N389" s="13"/>
      <c r="O389" s="85"/>
      <c r="P389" s="14"/>
      <c r="Q389" s="17">
        <f t="shared" si="148"/>
        <v>0</v>
      </c>
      <c r="R389" s="59"/>
      <c r="S389" s="31">
        <f t="shared" si="147"/>
        <v>0</v>
      </c>
    </row>
    <row r="390" spans="1:19" ht="35.25" customHeight="1" thickBot="1" x14ac:dyDescent="0.3">
      <c r="A390" s="69" t="s">
        <v>13</v>
      </c>
      <c r="B390" s="11">
        <v>0</v>
      </c>
      <c r="C390" s="11"/>
      <c r="D390" s="41">
        <v>0</v>
      </c>
      <c r="E390" s="11"/>
      <c r="F390" s="85"/>
      <c r="G390" s="12"/>
      <c r="H390" s="29">
        <f t="shared" si="145"/>
        <v>0</v>
      </c>
      <c r="I390" s="57"/>
      <c r="J390" s="57"/>
      <c r="K390" s="79">
        <f t="shared" si="146"/>
        <v>0</v>
      </c>
      <c r="L390" s="11">
        <v>200</v>
      </c>
      <c r="M390" s="52">
        <v>200</v>
      </c>
      <c r="N390" s="13">
        <v>200</v>
      </c>
      <c r="O390" s="85"/>
      <c r="P390" s="14"/>
      <c r="Q390" s="17">
        <f t="shared" si="148"/>
        <v>0</v>
      </c>
      <c r="R390" s="59"/>
      <c r="S390" s="31">
        <f t="shared" si="147"/>
        <v>0</v>
      </c>
    </row>
    <row r="391" spans="1:19" ht="35.25" customHeight="1" thickBot="1" x14ac:dyDescent="0.3">
      <c r="A391" s="69" t="s">
        <v>18</v>
      </c>
      <c r="B391" s="11">
        <v>500</v>
      </c>
      <c r="C391" s="11"/>
      <c r="D391" s="41">
        <v>500</v>
      </c>
      <c r="E391" s="11">
        <v>500</v>
      </c>
      <c r="F391" s="85" t="s">
        <v>39</v>
      </c>
      <c r="G391" s="12"/>
      <c r="H391" s="29">
        <f t="shared" si="145"/>
        <v>0</v>
      </c>
      <c r="I391" s="57"/>
      <c r="J391" s="57"/>
      <c r="K391" s="79">
        <f t="shared" si="146"/>
        <v>0</v>
      </c>
      <c r="L391" s="11"/>
      <c r="M391" s="52"/>
      <c r="N391" s="13"/>
      <c r="O391" s="85"/>
      <c r="P391" s="14"/>
      <c r="Q391" s="17"/>
      <c r="R391" s="59"/>
      <c r="S391" s="31">
        <f t="shared" si="147"/>
        <v>0</v>
      </c>
    </row>
    <row r="392" spans="1:19" ht="35.25" customHeight="1" thickBot="1" x14ac:dyDescent="0.3">
      <c r="A392" s="69" t="s">
        <v>18</v>
      </c>
      <c r="B392" s="11">
        <v>700</v>
      </c>
      <c r="C392" s="11"/>
      <c r="D392" s="41">
        <v>700</v>
      </c>
      <c r="E392" s="11">
        <v>700</v>
      </c>
      <c r="F392" s="85"/>
      <c r="G392" s="12"/>
      <c r="H392" s="29">
        <f t="shared" ref="H392:H410" si="149">B392-E392</f>
        <v>0</v>
      </c>
      <c r="I392" s="57"/>
      <c r="J392" s="57"/>
      <c r="K392" s="79">
        <f t="shared" ref="K392:K424" si="150">(E392-D392)</f>
        <v>0</v>
      </c>
      <c r="L392" s="11">
        <v>150</v>
      </c>
      <c r="M392" s="51">
        <v>150</v>
      </c>
      <c r="N392" s="13">
        <v>150</v>
      </c>
      <c r="O392" s="85"/>
      <c r="P392" s="14"/>
      <c r="Q392" s="17">
        <f t="shared" ref="Q392:Q408" si="151">L392-N392</f>
        <v>0</v>
      </c>
      <c r="R392" s="59"/>
      <c r="S392" s="31">
        <f t="shared" si="147"/>
        <v>0</v>
      </c>
    </row>
    <row r="393" spans="1:19" ht="35.25" customHeight="1" thickBot="1" x14ac:dyDescent="0.3">
      <c r="A393" s="69" t="s">
        <v>27</v>
      </c>
      <c r="B393" s="11">
        <v>12</v>
      </c>
      <c r="C393" s="11"/>
      <c r="D393" s="41">
        <v>12</v>
      </c>
      <c r="E393" s="11">
        <v>12</v>
      </c>
      <c r="F393" s="85" t="s">
        <v>28</v>
      </c>
      <c r="G393" s="20"/>
      <c r="H393" s="29">
        <f t="shared" si="149"/>
        <v>0</v>
      </c>
      <c r="I393" s="57"/>
      <c r="J393" s="57"/>
      <c r="K393" s="79">
        <f t="shared" si="150"/>
        <v>0</v>
      </c>
      <c r="L393" s="23">
        <v>44</v>
      </c>
      <c r="M393" s="51">
        <v>44</v>
      </c>
      <c r="N393" s="13">
        <v>44</v>
      </c>
      <c r="O393" s="85" t="s">
        <v>3</v>
      </c>
      <c r="P393" s="14"/>
      <c r="Q393" s="17">
        <f t="shared" si="151"/>
        <v>0</v>
      </c>
      <c r="R393" s="59"/>
      <c r="S393" s="31">
        <f t="shared" si="147"/>
        <v>0</v>
      </c>
    </row>
    <row r="394" spans="1:19" ht="35.25" customHeight="1" thickBot="1" x14ac:dyDescent="0.3">
      <c r="A394" s="69" t="s">
        <v>27</v>
      </c>
      <c r="B394" s="11">
        <v>24</v>
      </c>
      <c r="C394" s="11"/>
      <c r="D394" s="41">
        <v>24</v>
      </c>
      <c r="E394" s="11">
        <v>24</v>
      </c>
      <c r="F394" s="85" t="s">
        <v>29</v>
      </c>
      <c r="G394" s="20"/>
      <c r="H394" s="29">
        <f t="shared" si="149"/>
        <v>0</v>
      </c>
      <c r="I394" s="57"/>
      <c r="J394" s="57"/>
      <c r="K394" s="79">
        <f t="shared" si="150"/>
        <v>0</v>
      </c>
      <c r="L394" s="23">
        <v>0</v>
      </c>
      <c r="M394" s="51">
        <v>0</v>
      </c>
      <c r="N394" s="13">
        <v>44</v>
      </c>
      <c r="O394" s="85" t="s">
        <v>1</v>
      </c>
      <c r="P394" s="14"/>
      <c r="Q394" s="17">
        <f t="shared" si="151"/>
        <v>-44</v>
      </c>
      <c r="R394" s="59"/>
      <c r="S394" s="31">
        <f t="shared" si="147"/>
        <v>44</v>
      </c>
    </row>
    <row r="395" spans="1:19" ht="35.25" customHeight="1" thickBot="1" x14ac:dyDescent="0.3">
      <c r="A395" s="69" t="s">
        <v>9</v>
      </c>
      <c r="B395" s="11">
        <v>418</v>
      </c>
      <c r="C395" s="11"/>
      <c r="D395" s="41">
        <v>418</v>
      </c>
      <c r="E395" s="11">
        <v>418</v>
      </c>
      <c r="F395" s="85"/>
      <c r="G395" s="20"/>
      <c r="H395" s="28">
        <f t="shared" si="149"/>
        <v>0</v>
      </c>
      <c r="I395" s="60"/>
      <c r="J395" s="60"/>
      <c r="K395" s="79">
        <f t="shared" si="150"/>
        <v>0</v>
      </c>
      <c r="L395" s="23">
        <v>24</v>
      </c>
      <c r="M395" s="51">
        <v>24</v>
      </c>
      <c r="N395" s="13">
        <v>24</v>
      </c>
      <c r="O395" s="85"/>
      <c r="P395" s="14"/>
      <c r="Q395" s="28">
        <f t="shared" si="151"/>
        <v>0</v>
      </c>
      <c r="R395" s="60"/>
      <c r="S395" s="31">
        <f t="shared" si="147"/>
        <v>0</v>
      </c>
    </row>
    <row r="396" spans="1:19" ht="35.25" customHeight="1" thickBot="1" x14ac:dyDescent="0.3">
      <c r="A396" s="73" t="s">
        <v>4</v>
      </c>
      <c r="B396" s="12">
        <v>170</v>
      </c>
      <c r="C396" s="12"/>
      <c r="D396" s="43">
        <v>170</v>
      </c>
      <c r="E396" s="12">
        <v>170</v>
      </c>
      <c r="F396" s="85"/>
      <c r="G396" s="20"/>
      <c r="H396" s="18">
        <f t="shared" si="149"/>
        <v>0</v>
      </c>
      <c r="I396" s="59"/>
      <c r="J396" s="59"/>
      <c r="K396" s="79">
        <f t="shared" si="150"/>
        <v>0</v>
      </c>
      <c r="L396" s="24">
        <v>250</v>
      </c>
      <c r="M396" s="53">
        <v>250</v>
      </c>
      <c r="N396" s="15">
        <f>11+96+144</f>
        <v>251</v>
      </c>
      <c r="O396" s="85"/>
      <c r="P396" s="14"/>
      <c r="Q396" s="18">
        <f t="shared" si="151"/>
        <v>-1</v>
      </c>
      <c r="R396" s="59"/>
      <c r="S396" s="31">
        <f t="shared" si="147"/>
        <v>1</v>
      </c>
    </row>
    <row r="397" spans="1:19" ht="35.25" customHeight="1" thickBot="1" x14ac:dyDescent="0.3">
      <c r="A397" s="69" t="s">
        <v>5</v>
      </c>
      <c r="B397" s="11">
        <v>750</v>
      </c>
      <c r="C397" s="11"/>
      <c r="D397" s="41">
        <v>750</v>
      </c>
      <c r="E397" s="11">
        <v>750</v>
      </c>
      <c r="F397" s="85"/>
      <c r="G397" s="20"/>
      <c r="H397" s="17">
        <f t="shared" si="149"/>
        <v>0</v>
      </c>
      <c r="I397" s="59"/>
      <c r="J397" s="59"/>
      <c r="K397" s="79">
        <f t="shared" si="150"/>
        <v>0</v>
      </c>
      <c r="L397" s="23">
        <v>0</v>
      </c>
      <c r="M397" s="51">
        <v>0</v>
      </c>
      <c r="N397" s="13"/>
      <c r="O397" s="85"/>
      <c r="P397" s="14"/>
      <c r="Q397" s="17">
        <f t="shared" si="151"/>
        <v>0</v>
      </c>
      <c r="R397" s="59"/>
      <c r="S397" s="31">
        <f t="shared" si="147"/>
        <v>0</v>
      </c>
    </row>
    <row r="398" spans="1:19" ht="35.25" customHeight="1" thickBot="1" x14ac:dyDescent="0.3">
      <c r="A398" s="69" t="s">
        <v>6</v>
      </c>
      <c r="B398" s="11">
        <v>100</v>
      </c>
      <c r="C398" s="11"/>
      <c r="D398" s="41">
        <v>100</v>
      </c>
      <c r="E398" s="11">
        <v>100</v>
      </c>
      <c r="F398" s="85"/>
      <c r="G398" s="20"/>
      <c r="H398" s="17">
        <f t="shared" si="149"/>
        <v>0</v>
      </c>
      <c r="I398" s="59"/>
      <c r="J398" s="59"/>
      <c r="K398" s="79">
        <f t="shared" si="150"/>
        <v>0</v>
      </c>
      <c r="L398" s="23">
        <v>100</v>
      </c>
      <c r="M398" s="51">
        <v>100</v>
      </c>
      <c r="N398" s="13">
        <v>100</v>
      </c>
      <c r="O398" s="85"/>
      <c r="P398" s="14"/>
      <c r="Q398" s="17">
        <f t="shared" si="151"/>
        <v>0</v>
      </c>
      <c r="R398" s="59"/>
      <c r="S398" s="31">
        <f t="shared" si="147"/>
        <v>0</v>
      </c>
    </row>
    <row r="399" spans="1:19" ht="35.25" customHeight="1" thickBot="1" x14ac:dyDescent="0.3">
      <c r="A399" s="69" t="s">
        <v>7</v>
      </c>
      <c r="B399" s="11">
        <v>130</v>
      </c>
      <c r="C399" s="11"/>
      <c r="D399" s="41">
        <v>130</v>
      </c>
      <c r="E399" s="11">
        <v>130</v>
      </c>
      <c r="F399" s="85"/>
      <c r="G399" s="20"/>
      <c r="H399" s="17">
        <f t="shared" si="149"/>
        <v>0</v>
      </c>
      <c r="I399" s="59"/>
      <c r="J399" s="59"/>
      <c r="K399" s="79">
        <f t="shared" si="150"/>
        <v>0</v>
      </c>
      <c r="L399" s="23">
        <v>45</v>
      </c>
      <c r="M399" s="51">
        <v>45</v>
      </c>
      <c r="N399" s="13">
        <v>45</v>
      </c>
      <c r="O399" s="85"/>
      <c r="P399" s="14"/>
      <c r="Q399" s="17">
        <f t="shared" si="151"/>
        <v>0</v>
      </c>
      <c r="R399" s="59"/>
      <c r="S399" s="31">
        <f t="shared" si="147"/>
        <v>0</v>
      </c>
    </row>
    <row r="400" spans="1:19" ht="35.25" customHeight="1" thickBot="1" x14ac:dyDescent="0.3">
      <c r="A400" s="69" t="s">
        <v>8</v>
      </c>
      <c r="B400" s="11">
        <v>400</v>
      </c>
      <c r="C400" s="11"/>
      <c r="D400" s="41">
        <v>400</v>
      </c>
      <c r="E400" s="11">
        <v>400</v>
      </c>
      <c r="F400" s="85"/>
      <c r="G400" s="20"/>
      <c r="H400" s="17">
        <f t="shared" si="149"/>
        <v>0</v>
      </c>
      <c r="I400" s="59"/>
      <c r="J400" s="59"/>
      <c r="K400" s="79">
        <f t="shared" si="150"/>
        <v>0</v>
      </c>
      <c r="L400" s="23">
        <v>150</v>
      </c>
      <c r="M400" s="51">
        <v>150</v>
      </c>
      <c r="N400" s="13">
        <v>150</v>
      </c>
      <c r="O400" s="85"/>
      <c r="P400" s="14"/>
      <c r="Q400" s="17">
        <f t="shared" si="151"/>
        <v>0</v>
      </c>
      <c r="R400" s="59"/>
      <c r="S400" s="31">
        <f t="shared" si="147"/>
        <v>0</v>
      </c>
    </row>
    <row r="401" spans="1:19" ht="35.25" customHeight="1" thickBot="1" x14ac:dyDescent="0.3">
      <c r="A401" s="69" t="s">
        <v>10</v>
      </c>
      <c r="B401" s="11">
        <v>100</v>
      </c>
      <c r="C401" s="11"/>
      <c r="D401" s="41">
        <v>100</v>
      </c>
      <c r="E401" s="11">
        <v>100</v>
      </c>
      <c r="F401" s="85"/>
      <c r="G401" s="20"/>
      <c r="H401" s="17">
        <f t="shared" si="149"/>
        <v>0</v>
      </c>
      <c r="I401" s="59"/>
      <c r="J401" s="59"/>
      <c r="K401" s="79">
        <f t="shared" si="150"/>
        <v>0</v>
      </c>
      <c r="L401" s="23">
        <v>0</v>
      </c>
      <c r="M401" s="51">
        <v>0</v>
      </c>
      <c r="N401" s="13"/>
      <c r="O401" s="85"/>
      <c r="P401" s="14"/>
      <c r="Q401" s="17">
        <f t="shared" si="151"/>
        <v>0</v>
      </c>
      <c r="R401" s="59"/>
      <c r="S401" s="31">
        <f t="shared" si="147"/>
        <v>0</v>
      </c>
    </row>
    <row r="402" spans="1:19" ht="35.25" customHeight="1" thickBot="1" x14ac:dyDescent="0.3">
      <c r="A402" s="69" t="s">
        <v>11</v>
      </c>
      <c r="B402" s="11">
        <v>70</v>
      </c>
      <c r="C402" s="11"/>
      <c r="D402" s="41">
        <v>70</v>
      </c>
      <c r="E402" s="11">
        <v>70</v>
      </c>
      <c r="F402" s="85"/>
      <c r="G402" s="20"/>
      <c r="H402" s="17">
        <f t="shared" si="149"/>
        <v>0</v>
      </c>
      <c r="I402" s="59"/>
      <c r="J402" s="59"/>
      <c r="K402" s="79">
        <f t="shared" si="150"/>
        <v>0</v>
      </c>
      <c r="L402" s="23">
        <v>10</v>
      </c>
      <c r="M402" s="51">
        <v>10</v>
      </c>
      <c r="N402" s="13">
        <v>10</v>
      </c>
      <c r="O402" s="85"/>
      <c r="P402" s="14"/>
      <c r="Q402" s="17">
        <f t="shared" si="151"/>
        <v>0</v>
      </c>
      <c r="R402" s="59"/>
      <c r="S402" s="31">
        <f t="shared" si="147"/>
        <v>0</v>
      </c>
    </row>
    <row r="403" spans="1:19" ht="35.25" customHeight="1" thickBot="1" x14ac:dyDescent="0.3">
      <c r="A403" s="69" t="s">
        <v>12</v>
      </c>
      <c r="B403" s="11">
        <v>50</v>
      </c>
      <c r="C403" s="11"/>
      <c r="D403" s="41">
        <v>50</v>
      </c>
      <c r="E403" s="11">
        <v>50</v>
      </c>
      <c r="F403" s="85"/>
      <c r="G403" s="20"/>
      <c r="H403" s="17">
        <f t="shared" si="149"/>
        <v>0</v>
      </c>
      <c r="I403" s="59"/>
      <c r="J403" s="59"/>
      <c r="K403" s="79">
        <f t="shared" si="150"/>
        <v>0</v>
      </c>
      <c r="L403" s="23">
        <v>0</v>
      </c>
      <c r="M403" s="51">
        <v>0</v>
      </c>
      <c r="N403" s="13"/>
      <c r="O403" s="85"/>
      <c r="P403" s="14"/>
      <c r="Q403" s="17">
        <f t="shared" si="151"/>
        <v>0</v>
      </c>
      <c r="R403" s="59"/>
      <c r="S403" s="31">
        <f t="shared" si="147"/>
        <v>0</v>
      </c>
    </row>
    <row r="404" spans="1:19" ht="34.5" customHeight="1" thickBot="1" x14ac:dyDescent="0.3">
      <c r="A404" s="69" t="s">
        <v>14</v>
      </c>
      <c r="B404" s="11">
        <v>0</v>
      </c>
      <c r="C404" s="11"/>
      <c r="D404" s="41">
        <v>0</v>
      </c>
      <c r="E404" s="11"/>
      <c r="F404" s="85"/>
      <c r="G404" s="20"/>
      <c r="H404" s="17">
        <f t="shared" si="149"/>
        <v>0</v>
      </c>
      <c r="I404" s="59"/>
      <c r="J404" s="59"/>
      <c r="K404" s="79">
        <f t="shared" si="150"/>
        <v>0</v>
      </c>
      <c r="L404" s="23">
        <v>168</v>
      </c>
      <c r="M404" s="51">
        <v>168</v>
      </c>
      <c r="N404" s="13">
        <v>168</v>
      </c>
      <c r="O404" s="85"/>
      <c r="P404" s="14"/>
      <c r="Q404" s="17">
        <f t="shared" si="151"/>
        <v>0</v>
      </c>
      <c r="R404" s="59"/>
      <c r="S404" s="31">
        <f t="shared" si="147"/>
        <v>0</v>
      </c>
    </row>
    <row r="405" spans="1:19" ht="35.25" customHeight="1" thickBot="1" x14ac:dyDescent="0.3">
      <c r="A405" s="69" t="s">
        <v>15</v>
      </c>
      <c r="B405" s="11">
        <v>36</v>
      </c>
      <c r="C405" s="11"/>
      <c r="D405" s="41">
        <v>36</v>
      </c>
      <c r="E405" s="11">
        <v>36</v>
      </c>
      <c r="F405" s="85"/>
      <c r="G405" s="20"/>
      <c r="H405" s="17">
        <f t="shared" si="149"/>
        <v>0</v>
      </c>
      <c r="I405" s="59"/>
      <c r="J405" s="59"/>
      <c r="K405" s="79">
        <f t="shared" si="150"/>
        <v>0</v>
      </c>
      <c r="L405" s="23">
        <v>13</v>
      </c>
      <c r="M405" s="51">
        <v>13</v>
      </c>
      <c r="N405" s="13">
        <v>13</v>
      </c>
      <c r="O405" s="85"/>
      <c r="P405" s="14"/>
      <c r="Q405" s="17">
        <f t="shared" si="151"/>
        <v>0</v>
      </c>
      <c r="R405" s="59"/>
      <c r="S405" s="31">
        <f t="shared" si="147"/>
        <v>0</v>
      </c>
    </row>
    <row r="406" spans="1:19" ht="35.25" customHeight="1" thickBot="1" x14ac:dyDescent="0.3">
      <c r="A406" s="69" t="s">
        <v>16</v>
      </c>
      <c r="B406" s="11">
        <v>24</v>
      </c>
      <c r="C406" s="11"/>
      <c r="D406" s="41">
        <v>24</v>
      </c>
      <c r="E406" s="11">
        <v>24</v>
      </c>
      <c r="F406" s="85"/>
      <c r="G406" s="20"/>
      <c r="H406" s="17">
        <f t="shared" si="149"/>
        <v>0</v>
      </c>
      <c r="I406" s="59"/>
      <c r="J406" s="59"/>
      <c r="K406" s="79">
        <f t="shared" si="150"/>
        <v>0</v>
      </c>
      <c r="L406" s="23">
        <v>24</v>
      </c>
      <c r="M406" s="51">
        <v>24</v>
      </c>
      <c r="N406" s="13">
        <v>24</v>
      </c>
      <c r="O406" s="85"/>
      <c r="P406" s="14"/>
      <c r="Q406" s="17">
        <f t="shared" si="151"/>
        <v>0</v>
      </c>
      <c r="R406" s="59"/>
      <c r="S406" s="31">
        <f t="shared" si="147"/>
        <v>0</v>
      </c>
    </row>
    <row r="407" spans="1:19" ht="35.25" customHeight="1" thickBot="1" x14ac:dyDescent="0.3">
      <c r="A407" s="69" t="s">
        <v>17</v>
      </c>
      <c r="B407" s="11">
        <v>48</v>
      </c>
      <c r="C407" s="11"/>
      <c r="D407" s="41">
        <v>48</v>
      </c>
      <c r="E407" s="11">
        <v>48</v>
      </c>
      <c r="F407" s="85"/>
      <c r="G407" s="20"/>
      <c r="H407" s="17">
        <f t="shared" si="149"/>
        <v>0</v>
      </c>
      <c r="I407" s="59"/>
      <c r="J407" s="59"/>
      <c r="K407" s="79">
        <f t="shared" si="150"/>
        <v>0</v>
      </c>
      <c r="L407" s="23">
        <v>16</v>
      </c>
      <c r="M407" s="51">
        <v>16</v>
      </c>
      <c r="N407" s="13">
        <v>16</v>
      </c>
      <c r="O407" s="85"/>
      <c r="P407" s="14"/>
      <c r="Q407" s="17">
        <f t="shared" si="151"/>
        <v>0</v>
      </c>
      <c r="R407" s="59"/>
      <c r="S407" s="31">
        <f t="shared" si="147"/>
        <v>0</v>
      </c>
    </row>
    <row r="408" spans="1:19" ht="35.25" customHeight="1" thickBot="1" x14ac:dyDescent="0.3">
      <c r="A408" s="69" t="s">
        <v>20</v>
      </c>
      <c r="B408" s="11">
        <v>180</v>
      </c>
      <c r="C408" s="11"/>
      <c r="D408" s="41">
        <v>180</v>
      </c>
      <c r="E408" s="11">
        <v>180</v>
      </c>
      <c r="F408" s="85" t="s">
        <v>24</v>
      </c>
      <c r="G408" s="20"/>
      <c r="H408" s="17">
        <f t="shared" si="149"/>
        <v>0</v>
      </c>
      <c r="I408" s="59"/>
      <c r="J408" s="59"/>
      <c r="K408" s="79">
        <f t="shared" si="150"/>
        <v>0</v>
      </c>
      <c r="L408" s="23"/>
      <c r="M408" s="51"/>
      <c r="N408" s="13"/>
      <c r="O408" s="85"/>
      <c r="P408" s="14"/>
      <c r="Q408" s="17">
        <f t="shared" si="151"/>
        <v>0</v>
      </c>
      <c r="R408" s="59"/>
      <c r="S408" s="31">
        <f t="shared" si="147"/>
        <v>0</v>
      </c>
    </row>
    <row r="409" spans="1:19" ht="35.25" customHeight="1" thickBot="1" x14ac:dyDescent="0.3">
      <c r="A409" s="69" t="s">
        <v>20</v>
      </c>
      <c r="B409" s="11">
        <v>66</v>
      </c>
      <c r="C409" s="11"/>
      <c r="D409" s="41">
        <v>66</v>
      </c>
      <c r="E409" s="11">
        <v>66</v>
      </c>
      <c r="F409" s="85" t="s">
        <v>23</v>
      </c>
      <c r="G409" s="20"/>
      <c r="H409" s="17">
        <f t="shared" si="149"/>
        <v>0</v>
      </c>
      <c r="I409" s="59"/>
      <c r="J409" s="59"/>
      <c r="K409" s="79">
        <f t="shared" si="150"/>
        <v>0</v>
      </c>
      <c r="L409" s="23"/>
      <c r="M409" s="50"/>
      <c r="N409" s="13"/>
      <c r="O409" s="85"/>
      <c r="P409" s="14"/>
      <c r="Q409" s="17"/>
      <c r="R409" s="59"/>
      <c r="S409" s="31">
        <f t="shared" si="147"/>
        <v>0</v>
      </c>
    </row>
    <row r="410" spans="1:19" ht="35.25" customHeight="1" thickBot="1" x14ac:dyDescent="0.3">
      <c r="A410" s="68"/>
      <c r="B410" s="2"/>
      <c r="C410" s="2"/>
      <c r="D410" s="44"/>
      <c r="E410" s="2"/>
      <c r="F410" s="84"/>
      <c r="G410" s="21"/>
      <c r="H410" s="16">
        <f t="shared" si="149"/>
        <v>0</v>
      </c>
      <c r="I410" s="61"/>
      <c r="J410" s="61"/>
      <c r="K410" s="79">
        <f t="shared" si="150"/>
        <v>0</v>
      </c>
      <c r="L410" s="25"/>
      <c r="M410" s="54"/>
      <c r="N410" s="3"/>
      <c r="O410" s="84"/>
      <c r="P410" s="9"/>
      <c r="Q410" s="16">
        <f t="shared" ref="Q410:Q424" si="152">L410-N410</f>
        <v>0</v>
      </c>
      <c r="R410" s="61"/>
      <c r="S410" s="31">
        <f t="shared" si="147"/>
        <v>0</v>
      </c>
    </row>
    <row r="411" spans="1:19" ht="35.25" customHeight="1" thickBot="1" x14ac:dyDescent="0.3">
      <c r="A411" s="68"/>
      <c r="B411" s="2"/>
      <c r="C411" s="2"/>
      <c r="D411" s="44"/>
      <c r="E411" s="2"/>
      <c r="F411" s="84"/>
      <c r="G411" s="21"/>
      <c r="H411" s="16">
        <f t="shared" ref="H411:H423" si="153">B411-E411</f>
        <v>0</v>
      </c>
      <c r="I411" s="61"/>
      <c r="J411" s="61"/>
      <c r="K411" s="79">
        <f t="shared" si="150"/>
        <v>0</v>
      </c>
      <c r="L411" s="25"/>
      <c r="M411" s="54"/>
      <c r="N411" s="3"/>
      <c r="O411" s="84"/>
      <c r="P411" s="9"/>
      <c r="Q411" s="16">
        <f t="shared" si="152"/>
        <v>0</v>
      </c>
      <c r="R411" s="61"/>
      <c r="S411" s="31">
        <f t="shared" si="147"/>
        <v>0</v>
      </c>
    </row>
    <row r="412" spans="1:19" ht="35.25" customHeight="1" thickBot="1" x14ac:dyDescent="0.3">
      <c r="A412" s="68"/>
      <c r="B412" s="2"/>
      <c r="C412" s="2"/>
      <c r="D412" s="44"/>
      <c r="E412" s="2"/>
      <c r="F412" s="84"/>
      <c r="G412" s="21"/>
      <c r="H412" s="16">
        <f t="shared" si="153"/>
        <v>0</v>
      </c>
      <c r="I412" s="61"/>
      <c r="J412" s="61"/>
      <c r="K412" s="79">
        <f t="shared" si="150"/>
        <v>0</v>
      </c>
      <c r="L412" s="25"/>
      <c r="M412" s="54"/>
      <c r="N412" s="3"/>
      <c r="O412" s="84"/>
      <c r="P412" s="9"/>
      <c r="Q412" s="16">
        <f t="shared" si="152"/>
        <v>0</v>
      </c>
      <c r="R412" s="61"/>
      <c r="S412" s="31">
        <f t="shared" si="147"/>
        <v>0</v>
      </c>
    </row>
    <row r="413" spans="1:19" ht="35.25" customHeight="1" thickBot="1" x14ac:dyDescent="0.3">
      <c r="A413" s="68"/>
      <c r="B413" s="2"/>
      <c r="C413" s="2"/>
      <c r="D413" s="44"/>
      <c r="E413" s="2"/>
      <c r="F413" s="84"/>
      <c r="G413" s="21"/>
      <c r="H413" s="16">
        <f t="shared" si="153"/>
        <v>0</v>
      </c>
      <c r="I413" s="61"/>
      <c r="J413" s="61"/>
      <c r="K413" s="79">
        <f t="shared" si="150"/>
        <v>0</v>
      </c>
      <c r="L413" s="25"/>
      <c r="M413" s="54"/>
      <c r="N413" s="3"/>
      <c r="O413" s="84"/>
      <c r="P413" s="9"/>
      <c r="Q413" s="16">
        <f t="shared" si="152"/>
        <v>0</v>
      </c>
      <c r="R413" s="61"/>
      <c r="S413" s="31">
        <f t="shared" si="147"/>
        <v>0</v>
      </c>
    </row>
    <row r="414" spans="1:19" ht="35.25" customHeight="1" thickBot="1" x14ac:dyDescent="0.3">
      <c r="A414" s="68"/>
      <c r="B414" s="2"/>
      <c r="C414" s="2"/>
      <c r="D414" s="44"/>
      <c r="E414" s="2"/>
      <c r="F414" s="84"/>
      <c r="G414" s="21"/>
      <c r="H414" s="16">
        <f t="shared" si="153"/>
        <v>0</v>
      </c>
      <c r="I414" s="61"/>
      <c r="J414" s="61"/>
      <c r="K414" s="79">
        <f t="shared" si="150"/>
        <v>0</v>
      </c>
      <c r="L414" s="25"/>
      <c r="M414" s="54"/>
      <c r="N414" s="3"/>
      <c r="O414" s="84"/>
      <c r="P414" s="9"/>
      <c r="Q414" s="16">
        <f t="shared" si="152"/>
        <v>0</v>
      </c>
      <c r="R414" s="61"/>
      <c r="S414" s="31">
        <f t="shared" si="147"/>
        <v>0</v>
      </c>
    </row>
    <row r="415" spans="1:19" ht="35.25" customHeight="1" thickBot="1" x14ac:dyDescent="0.3">
      <c r="A415" s="68"/>
      <c r="B415" s="2"/>
      <c r="C415" s="2"/>
      <c r="D415" s="44"/>
      <c r="E415" s="2"/>
      <c r="F415" s="84"/>
      <c r="G415" s="21"/>
      <c r="H415" s="16">
        <f t="shared" si="153"/>
        <v>0</v>
      </c>
      <c r="I415" s="61"/>
      <c r="J415" s="61"/>
      <c r="K415" s="79">
        <f t="shared" si="150"/>
        <v>0</v>
      </c>
      <c r="L415" s="25"/>
      <c r="M415" s="54"/>
      <c r="N415" s="3"/>
      <c r="O415" s="84"/>
      <c r="P415" s="9"/>
      <c r="Q415" s="16">
        <f t="shared" si="152"/>
        <v>0</v>
      </c>
      <c r="R415" s="61"/>
      <c r="S415" s="31">
        <f t="shared" si="147"/>
        <v>0</v>
      </c>
    </row>
    <row r="416" spans="1:19" ht="35.25" customHeight="1" thickBot="1" x14ac:dyDescent="0.3">
      <c r="A416" s="68"/>
      <c r="B416" s="2"/>
      <c r="C416" s="2"/>
      <c r="D416" s="44"/>
      <c r="E416" s="2"/>
      <c r="F416" s="84"/>
      <c r="G416" s="21"/>
      <c r="H416" s="16">
        <f t="shared" si="153"/>
        <v>0</v>
      </c>
      <c r="I416" s="61"/>
      <c r="J416" s="61"/>
      <c r="K416" s="79">
        <f t="shared" si="150"/>
        <v>0</v>
      </c>
      <c r="L416" s="25"/>
      <c r="M416" s="54"/>
      <c r="N416" s="3"/>
      <c r="O416" s="84"/>
      <c r="P416" s="9"/>
      <c r="Q416" s="16">
        <f t="shared" si="152"/>
        <v>0</v>
      </c>
      <c r="R416" s="61"/>
      <c r="S416" s="31">
        <f t="shared" si="147"/>
        <v>0</v>
      </c>
    </row>
    <row r="417" spans="1:19" ht="35.25" customHeight="1" thickBot="1" x14ac:dyDescent="0.3">
      <c r="A417" s="68"/>
      <c r="B417" s="2"/>
      <c r="C417" s="2"/>
      <c r="D417" s="44"/>
      <c r="E417" s="2"/>
      <c r="F417" s="84"/>
      <c r="G417" s="21"/>
      <c r="H417" s="16">
        <f t="shared" si="153"/>
        <v>0</v>
      </c>
      <c r="I417" s="61"/>
      <c r="J417" s="61"/>
      <c r="K417" s="79">
        <f t="shared" si="150"/>
        <v>0</v>
      </c>
      <c r="L417" s="25"/>
      <c r="M417" s="54"/>
      <c r="N417" s="3"/>
      <c r="O417" s="84"/>
      <c r="P417" s="9"/>
      <c r="Q417" s="16">
        <f t="shared" si="152"/>
        <v>0</v>
      </c>
      <c r="R417" s="61"/>
      <c r="S417" s="31">
        <f t="shared" si="147"/>
        <v>0</v>
      </c>
    </row>
    <row r="418" spans="1:19" ht="35.25" customHeight="1" thickBot="1" x14ac:dyDescent="0.3">
      <c r="A418" s="68"/>
      <c r="B418" s="2"/>
      <c r="C418" s="2"/>
      <c r="D418" s="44"/>
      <c r="E418" s="2"/>
      <c r="F418" s="84"/>
      <c r="G418" s="21"/>
      <c r="H418" s="16">
        <f t="shared" si="153"/>
        <v>0</v>
      </c>
      <c r="I418" s="61"/>
      <c r="J418" s="61"/>
      <c r="K418" s="79">
        <f t="shared" si="150"/>
        <v>0</v>
      </c>
      <c r="L418" s="25"/>
      <c r="M418" s="54"/>
      <c r="N418" s="3"/>
      <c r="O418" s="84"/>
      <c r="P418" s="9"/>
      <c r="Q418" s="16">
        <f t="shared" si="152"/>
        <v>0</v>
      </c>
      <c r="R418" s="61"/>
      <c r="S418" s="31">
        <f t="shared" si="147"/>
        <v>0</v>
      </c>
    </row>
    <row r="419" spans="1:19" ht="35.25" customHeight="1" thickBot="1" x14ac:dyDescent="0.3">
      <c r="A419" s="68"/>
      <c r="B419" s="2"/>
      <c r="C419" s="2"/>
      <c r="D419" s="44"/>
      <c r="E419" s="2"/>
      <c r="F419" s="84"/>
      <c r="G419" s="21"/>
      <c r="H419" s="16">
        <f t="shared" si="153"/>
        <v>0</v>
      </c>
      <c r="I419" s="61"/>
      <c r="J419" s="61"/>
      <c r="K419" s="79">
        <f t="shared" si="150"/>
        <v>0</v>
      </c>
      <c r="L419" s="25"/>
      <c r="M419" s="54"/>
      <c r="N419" s="3"/>
      <c r="O419" s="84"/>
      <c r="P419" s="9"/>
      <c r="Q419" s="16">
        <f t="shared" si="152"/>
        <v>0</v>
      </c>
      <c r="R419" s="61"/>
      <c r="S419" s="31">
        <f t="shared" si="147"/>
        <v>0</v>
      </c>
    </row>
    <row r="420" spans="1:19" ht="35.25" customHeight="1" thickBot="1" x14ac:dyDescent="0.3">
      <c r="A420" s="68"/>
      <c r="B420" s="2"/>
      <c r="C420" s="2"/>
      <c r="D420" s="44"/>
      <c r="E420" s="2"/>
      <c r="F420" s="84"/>
      <c r="G420" s="21"/>
      <c r="H420" s="16">
        <f t="shared" si="153"/>
        <v>0</v>
      </c>
      <c r="I420" s="61"/>
      <c r="J420" s="61"/>
      <c r="K420" s="79">
        <f t="shared" si="150"/>
        <v>0</v>
      </c>
      <c r="L420" s="25"/>
      <c r="M420" s="54"/>
      <c r="N420" s="3"/>
      <c r="O420" s="84"/>
      <c r="P420" s="9"/>
      <c r="Q420" s="16">
        <f t="shared" si="152"/>
        <v>0</v>
      </c>
      <c r="R420" s="61"/>
      <c r="S420" s="31">
        <f t="shared" si="147"/>
        <v>0</v>
      </c>
    </row>
    <row r="421" spans="1:19" ht="35.25" customHeight="1" thickBot="1" x14ac:dyDescent="0.3">
      <c r="A421" s="68"/>
      <c r="B421" s="2"/>
      <c r="C421" s="2"/>
      <c r="D421" s="44"/>
      <c r="E421" s="2"/>
      <c r="F421" s="84"/>
      <c r="G421" s="21"/>
      <c r="H421" s="16">
        <f t="shared" si="153"/>
        <v>0</v>
      </c>
      <c r="I421" s="61"/>
      <c r="J421" s="61"/>
      <c r="K421" s="79">
        <f t="shared" si="150"/>
        <v>0</v>
      </c>
      <c r="L421" s="25"/>
      <c r="M421" s="54"/>
      <c r="N421" s="3"/>
      <c r="O421" s="84"/>
      <c r="P421" s="9"/>
      <c r="Q421" s="16">
        <f t="shared" si="152"/>
        <v>0</v>
      </c>
      <c r="R421" s="61"/>
      <c r="S421" s="31">
        <f t="shared" si="147"/>
        <v>0</v>
      </c>
    </row>
    <row r="422" spans="1:19" ht="35.25" customHeight="1" thickBot="1" x14ac:dyDescent="0.3">
      <c r="A422" s="68"/>
      <c r="B422" s="2"/>
      <c r="C422" s="2"/>
      <c r="D422" s="44"/>
      <c r="E422" s="2"/>
      <c r="F422" s="84"/>
      <c r="G422" s="21"/>
      <c r="H422" s="16">
        <f t="shared" si="153"/>
        <v>0</v>
      </c>
      <c r="I422" s="61"/>
      <c r="J422" s="61"/>
      <c r="K422" s="79">
        <f t="shared" si="150"/>
        <v>0</v>
      </c>
      <c r="L422" s="25"/>
      <c r="M422" s="54"/>
      <c r="N422" s="3"/>
      <c r="O422" s="84"/>
      <c r="P422" s="9"/>
      <c r="Q422" s="16">
        <f t="shared" si="152"/>
        <v>0</v>
      </c>
      <c r="R422" s="61"/>
      <c r="S422" s="31">
        <f t="shared" si="147"/>
        <v>0</v>
      </c>
    </row>
    <row r="423" spans="1:19" ht="35.25" customHeight="1" thickBot="1" x14ac:dyDescent="0.3">
      <c r="A423" s="68"/>
      <c r="B423" s="2"/>
      <c r="C423" s="2"/>
      <c r="D423" s="44"/>
      <c r="E423" s="2"/>
      <c r="F423" s="84"/>
      <c r="G423" s="21"/>
      <c r="H423" s="16">
        <f t="shared" si="153"/>
        <v>0</v>
      </c>
      <c r="I423" s="61"/>
      <c r="J423" s="61"/>
      <c r="K423" s="79">
        <f t="shared" si="150"/>
        <v>0</v>
      </c>
      <c r="L423" s="25"/>
      <c r="M423" s="54"/>
      <c r="N423" s="3"/>
      <c r="O423" s="84"/>
      <c r="P423" s="9"/>
      <c r="Q423" s="16">
        <f t="shared" si="152"/>
        <v>0</v>
      </c>
      <c r="R423" s="61"/>
      <c r="S423" s="31">
        <f t="shared" si="147"/>
        <v>0</v>
      </c>
    </row>
    <row r="424" spans="1:19" ht="35.25" customHeight="1" thickBot="1" x14ac:dyDescent="0.3">
      <c r="A424" s="75"/>
      <c r="B424" s="4"/>
      <c r="C424" s="4"/>
      <c r="D424" s="45"/>
      <c r="E424" s="4"/>
      <c r="F424" s="87"/>
      <c r="G424" s="22"/>
      <c r="H424" s="27"/>
      <c r="I424" s="62"/>
      <c r="J424" s="62"/>
      <c r="K424" s="79">
        <f t="shared" si="150"/>
        <v>0</v>
      </c>
      <c r="L424" s="26"/>
      <c r="M424" s="55"/>
      <c r="N424" s="5"/>
      <c r="O424" s="87"/>
      <c r="P424" s="10"/>
      <c r="Q424" s="19">
        <f t="shared" si="152"/>
        <v>0</v>
      </c>
      <c r="R424" s="65"/>
      <c r="S424" s="31">
        <f t="shared" si="147"/>
        <v>0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Sheet2</vt:lpstr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Abolfazl</dc:creator>
  <cp:lastModifiedBy>Abolfazl Sharifi</cp:lastModifiedBy>
  <dcterms:created xsi:type="dcterms:W3CDTF">2015-06-05T18:17:20Z</dcterms:created>
  <dcterms:modified xsi:type="dcterms:W3CDTF">2026-06-09T04:33:23Z</dcterms:modified>
</cp:coreProperties>
</file>